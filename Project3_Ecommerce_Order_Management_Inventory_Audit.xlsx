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i\Desktop\"/>
    </mc:Choice>
  </mc:AlternateContent>
  <xr:revisionPtr revIDLastSave="0" documentId="13_ncr:1_{882249B4-7D26-4D64-B3F4-E99F8CA3168A}" xr6:coauthVersionLast="47" xr6:coauthVersionMax="47" xr10:uidLastSave="{00000000-0000-0000-0000-000000000000}"/>
  <bookViews>
    <workbookView xWindow="-110" yWindow="-110" windowWidth="19420" windowHeight="11020" firstSheet="2" activeTab="2" xr2:uid="{1EAE2687-5A93-4339-B26F-4590DDB85D9E}"/>
  </bookViews>
  <sheets>
    <sheet name="Order_Master" sheetId="1" r:id="rId1"/>
    <sheet name="Inventory_Master" sheetId="2" r:id="rId2"/>
    <sheet name="Audit_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3" i="3"/>
  <c r="H4" i="3"/>
  <c r="H5" i="3"/>
  <c r="H6" i="3"/>
  <c r="H7" i="3"/>
  <c r="H8" i="3"/>
  <c r="H9" i="3"/>
  <c r="H3" i="3"/>
  <c r="G4" i="3"/>
  <c r="G5" i="3"/>
  <c r="G6" i="3"/>
  <c r="G7" i="3"/>
  <c r="G8" i="3"/>
  <c r="G9" i="3"/>
  <c r="G3" i="3"/>
  <c r="F4" i="3"/>
  <c r="F5" i="3"/>
  <c r="F6" i="3"/>
  <c r="F7" i="3"/>
  <c r="F8" i="3"/>
  <c r="F9" i="3"/>
  <c r="F3" i="3"/>
  <c r="B5" i="3"/>
  <c r="B7" i="3"/>
  <c r="B6" i="3"/>
  <c r="B3" i="3"/>
  <c r="B4" i="3"/>
</calcChain>
</file>

<file path=xl/sharedStrings.xml><?xml version="1.0" encoding="utf-8"?>
<sst xmlns="http://schemas.openxmlformats.org/spreadsheetml/2006/main" count="115" uniqueCount="53">
  <si>
    <t>Order_ID</t>
  </si>
  <si>
    <t>Product_ID</t>
  </si>
  <si>
    <t>Category</t>
  </si>
  <si>
    <t>Units_Ordered</t>
  </si>
  <si>
    <t>Unit_Price</t>
  </si>
  <si>
    <t>Order_Status</t>
  </si>
  <si>
    <t>Return_Flag</t>
  </si>
  <si>
    <t>ORD1001</t>
  </si>
  <si>
    <t>SKU-E101</t>
  </si>
  <si>
    <t>Electronics</t>
  </si>
  <si>
    <t>Delivered</t>
  </si>
  <si>
    <t>No</t>
  </si>
  <si>
    <t>ORD1002</t>
  </si>
  <si>
    <t>SKU-A201</t>
  </si>
  <si>
    <t>Apparel</t>
  </si>
  <si>
    <t>Returned</t>
  </si>
  <si>
    <t>Yes</t>
  </si>
  <si>
    <t>ORD1003</t>
  </si>
  <si>
    <t>SKU-F301</t>
  </si>
  <si>
    <t>Furniture</t>
  </si>
  <si>
    <t>Dispatched</t>
  </si>
  <si>
    <t>ORD1004</t>
  </si>
  <si>
    <t>SKU-E102</t>
  </si>
  <si>
    <t>ORD1005</t>
  </si>
  <si>
    <t>SKU-H401</t>
  </si>
  <si>
    <t>Home &amp; Kitchen</t>
  </si>
  <si>
    <t>Pending</t>
  </si>
  <si>
    <t>ORD1006</t>
  </si>
  <si>
    <t>SKU-A202</t>
  </si>
  <si>
    <t>ORD1007</t>
  </si>
  <si>
    <t>ORD1008</t>
  </si>
  <si>
    <t>ORD1009</t>
  </si>
  <si>
    <t>SKU-F302</t>
  </si>
  <si>
    <t>ORD1010</t>
  </si>
  <si>
    <t>ORD1011</t>
  </si>
  <si>
    <t>ORD1012</t>
  </si>
  <si>
    <t>Product_Name</t>
  </si>
  <si>
    <t>Opening_Stock</t>
  </si>
  <si>
    <t>Reorder_Level</t>
  </si>
  <si>
    <t>Current_Stock</t>
  </si>
  <si>
    <t>Wireless Headphones</t>
  </si>
  <si>
    <t>Mechanical Keyboard</t>
  </si>
  <si>
    <t>Cotton T-Shirt</t>
  </si>
  <si>
    <t>Denim Jacket</t>
  </si>
  <si>
    <t>Ergonomic Chair</t>
  </si>
  <si>
    <t>Standing Desk</t>
  </si>
  <si>
    <t>Stainless Water Bottle</t>
  </si>
  <si>
    <t>Order Status Summary</t>
  </si>
  <si>
    <t>OrderStatus</t>
  </si>
  <si>
    <t>Total Order</t>
  </si>
  <si>
    <t>Return rate(%)</t>
  </si>
  <si>
    <r>
      <rPr>
        <sz val="12"/>
        <color theme="1"/>
        <rFont val="Bahnschrift Condensed"/>
        <family val="2"/>
      </rPr>
      <t>Inventory Audit &amp; Low Stock Alert</t>
    </r>
    <r>
      <rPr>
        <sz val="11"/>
        <color theme="1"/>
        <rFont val="Bahnschrift Condensed"/>
        <family val="2"/>
      </rPr>
      <t>s</t>
    </r>
  </si>
  <si>
    <t>Stock_Status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</si>
</sst>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Bahnschrift Condensed"/>
      <family val="2"/>
    </font>
    <font>
      <sz val="11"/>
      <color theme="1"/>
      <name val="Bahnschrift Condensed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Bahnschrift Condensed"/>
      <family val="2"/>
    </font>
    <font>
      <sz val="14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/>
    <xf numFmtId="9" fontId="0" fillId="0" borderId="2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3C25-7523-4CA0-9CD0-9E3FB03621E8}">
  <dimension ref="A1:G13"/>
  <sheetViews>
    <sheetView zoomScaleNormal="100" workbookViewId="0">
      <selection activeCell="G1" sqref="G1"/>
    </sheetView>
  </sheetViews>
  <sheetFormatPr defaultRowHeight="14" x14ac:dyDescent="0.3"/>
  <cols>
    <col min="1" max="1" width="14" customWidth="1"/>
    <col min="2" max="2" width="15.09765625" customWidth="1"/>
    <col min="3" max="3" width="16.296875" customWidth="1"/>
    <col min="4" max="4" width="23" customWidth="1"/>
    <col min="5" max="5" width="16.8984375" customWidth="1"/>
    <col min="6" max="6" width="23" customWidth="1"/>
    <col min="7" max="7" width="16.19921875" customWidth="1"/>
  </cols>
  <sheetData>
    <row r="1" spans="1:7" ht="34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" x14ac:dyDescent="0.3">
      <c r="A2" s="4" t="s">
        <v>7</v>
      </c>
      <c r="B2" s="4" t="s">
        <v>8</v>
      </c>
      <c r="C2" s="4" t="s">
        <v>9</v>
      </c>
      <c r="D2" s="4">
        <v>2</v>
      </c>
      <c r="E2" s="4">
        <v>2500</v>
      </c>
      <c r="F2" s="4" t="s">
        <v>10</v>
      </c>
      <c r="G2" s="4" t="s">
        <v>11</v>
      </c>
    </row>
    <row r="3" spans="1:7" ht="28" x14ac:dyDescent="0.3">
      <c r="A3" s="4" t="s">
        <v>12</v>
      </c>
      <c r="B3" s="4" t="s">
        <v>13</v>
      </c>
      <c r="C3" s="4" t="s">
        <v>14</v>
      </c>
      <c r="D3" s="4">
        <v>5</v>
      </c>
      <c r="E3" s="4">
        <v>800</v>
      </c>
      <c r="F3" s="4" t="s">
        <v>15</v>
      </c>
      <c r="G3" s="4" t="s">
        <v>16</v>
      </c>
    </row>
    <row r="4" spans="1:7" ht="28" x14ac:dyDescent="0.3">
      <c r="A4" s="4" t="s">
        <v>17</v>
      </c>
      <c r="B4" s="4" t="s">
        <v>18</v>
      </c>
      <c r="C4" s="4" t="s">
        <v>19</v>
      </c>
      <c r="D4" s="4">
        <v>1</v>
      </c>
      <c r="E4" s="4">
        <v>8500</v>
      </c>
      <c r="F4" s="4" t="s">
        <v>20</v>
      </c>
      <c r="G4" s="4" t="s">
        <v>11</v>
      </c>
    </row>
    <row r="5" spans="1:7" ht="28" x14ac:dyDescent="0.3">
      <c r="A5" s="4" t="s">
        <v>21</v>
      </c>
      <c r="B5" s="4" t="s">
        <v>22</v>
      </c>
      <c r="C5" s="4" t="s">
        <v>9</v>
      </c>
      <c r="D5" s="4">
        <v>3</v>
      </c>
      <c r="E5" s="4">
        <v>4500</v>
      </c>
      <c r="F5" s="4" t="s">
        <v>10</v>
      </c>
      <c r="G5" s="4" t="s">
        <v>11</v>
      </c>
    </row>
    <row r="6" spans="1:7" ht="56" x14ac:dyDescent="0.3">
      <c r="A6" s="4" t="s">
        <v>23</v>
      </c>
      <c r="B6" s="4" t="s">
        <v>24</v>
      </c>
      <c r="C6" s="4" t="s">
        <v>25</v>
      </c>
      <c r="D6" s="4">
        <v>10</v>
      </c>
      <c r="E6" s="4">
        <v>600</v>
      </c>
      <c r="F6" s="4" t="s">
        <v>26</v>
      </c>
      <c r="G6" s="4" t="s">
        <v>11</v>
      </c>
    </row>
    <row r="7" spans="1:7" ht="28" x14ac:dyDescent="0.3">
      <c r="A7" s="4" t="s">
        <v>27</v>
      </c>
      <c r="B7" s="4" t="s">
        <v>28</v>
      </c>
      <c r="C7" s="4" t="s">
        <v>14</v>
      </c>
      <c r="D7" s="4">
        <v>2</v>
      </c>
      <c r="E7" s="4">
        <v>2200</v>
      </c>
      <c r="F7" s="4" t="s">
        <v>10</v>
      </c>
      <c r="G7" s="4" t="s">
        <v>11</v>
      </c>
    </row>
    <row r="8" spans="1:7" ht="28" x14ac:dyDescent="0.3">
      <c r="A8" s="4" t="s">
        <v>29</v>
      </c>
      <c r="B8" s="4" t="s">
        <v>8</v>
      </c>
      <c r="C8" s="4" t="s">
        <v>9</v>
      </c>
      <c r="D8" s="4">
        <v>4</v>
      </c>
      <c r="E8" s="4">
        <v>2500</v>
      </c>
      <c r="F8" s="4" t="s">
        <v>15</v>
      </c>
      <c r="G8" s="4" t="s">
        <v>16</v>
      </c>
    </row>
    <row r="9" spans="1:7" ht="28" x14ac:dyDescent="0.3">
      <c r="A9" s="4" t="s">
        <v>30</v>
      </c>
      <c r="B9" s="4" t="s">
        <v>13</v>
      </c>
      <c r="C9" s="4" t="s">
        <v>14</v>
      </c>
      <c r="D9" s="4">
        <v>8</v>
      </c>
      <c r="E9" s="4">
        <v>800</v>
      </c>
      <c r="F9" s="4" t="s">
        <v>10</v>
      </c>
      <c r="G9" s="4" t="s">
        <v>11</v>
      </c>
    </row>
    <row r="10" spans="1:7" ht="28" x14ac:dyDescent="0.3">
      <c r="A10" s="4" t="s">
        <v>31</v>
      </c>
      <c r="B10" s="4" t="s">
        <v>32</v>
      </c>
      <c r="C10" s="4" t="s">
        <v>19</v>
      </c>
      <c r="D10" s="4">
        <v>2</v>
      </c>
      <c r="E10" s="4">
        <v>15000</v>
      </c>
      <c r="F10" s="4" t="s">
        <v>20</v>
      </c>
      <c r="G10" s="4" t="s">
        <v>11</v>
      </c>
    </row>
    <row r="11" spans="1:7" ht="56" x14ac:dyDescent="0.3">
      <c r="A11" s="4" t="s">
        <v>33</v>
      </c>
      <c r="B11" s="4" t="s">
        <v>24</v>
      </c>
      <c r="C11" s="4" t="s">
        <v>25</v>
      </c>
      <c r="D11" s="4">
        <v>15</v>
      </c>
      <c r="E11" s="4">
        <v>600</v>
      </c>
      <c r="F11" s="4" t="s">
        <v>10</v>
      </c>
      <c r="G11" s="4" t="s">
        <v>11</v>
      </c>
    </row>
    <row r="12" spans="1:7" ht="28" x14ac:dyDescent="0.3">
      <c r="A12" s="4" t="s">
        <v>34</v>
      </c>
      <c r="B12" s="4" t="s">
        <v>22</v>
      </c>
      <c r="C12" s="4" t="s">
        <v>9</v>
      </c>
      <c r="D12" s="4">
        <v>1</v>
      </c>
      <c r="E12" s="4">
        <v>4500</v>
      </c>
      <c r="F12" s="4" t="s">
        <v>26</v>
      </c>
      <c r="G12" s="4" t="s">
        <v>11</v>
      </c>
    </row>
    <row r="13" spans="1:7" ht="28" x14ac:dyDescent="0.3">
      <c r="A13" s="4" t="s">
        <v>35</v>
      </c>
      <c r="B13" s="4" t="s">
        <v>28</v>
      </c>
      <c r="C13" s="4" t="s">
        <v>14</v>
      </c>
      <c r="D13" s="4">
        <v>3</v>
      </c>
      <c r="E13" s="4">
        <v>2200</v>
      </c>
      <c r="F13" s="4" t="s">
        <v>15</v>
      </c>
      <c r="G13" s="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1797-065A-4B82-83CF-29606A87420D}">
  <dimension ref="A1:F8"/>
  <sheetViews>
    <sheetView zoomScaleNormal="100" workbookViewId="0">
      <selection activeCell="C13" sqref="C13"/>
    </sheetView>
  </sheetViews>
  <sheetFormatPr defaultRowHeight="14" x14ac:dyDescent="0.3"/>
  <cols>
    <col min="1" max="1" width="8.796875" customWidth="1"/>
    <col min="2" max="2" width="18.8984375" customWidth="1"/>
    <col min="3" max="3" width="16.796875" customWidth="1"/>
    <col min="4" max="4" width="20" customWidth="1"/>
    <col min="5" max="5" width="25.5" customWidth="1"/>
    <col min="6" max="6" width="21.8984375" customWidth="1"/>
  </cols>
  <sheetData>
    <row r="1" spans="1:6" ht="14.5" thickBot="1" x14ac:dyDescent="0.35">
      <c r="A1" s="1" t="s">
        <v>1</v>
      </c>
      <c r="B1" s="1" t="s">
        <v>36</v>
      </c>
      <c r="C1" s="1" t="s">
        <v>2</v>
      </c>
      <c r="D1" s="1" t="s">
        <v>37</v>
      </c>
      <c r="E1" s="1" t="s">
        <v>38</v>
      </c>
      <c r="F1" s="1" t="s">
        <v>39</v>
      </c>
    </row>
    <row r="2" spans="1:6" ht="28.5" thickBot="1" x14ac:dyDescent="0.35">
      <c r="A2" s="2" t="s">
        <v>8</v>
      </c>
      <c r="B2" s="2" t="s">
        <v>40</v>
      </c>
      <c r="C2" s="2" t="s">
        <v>9</v>
      </c>
      <c r="D2" s="2">
        <v>50</v>
      </c>
      <c r="E2" s="2">
        <v>20</v>
      </c>
      <c r="F2" s="2">
        <v>12</v>
      </c>
    </row>
    <row r="3" spans="1:6" ht="28.5" thickBot="1" x14ac:dyDescent="0.35">
      <c r="A3" s="2" t="s">
        <v>22</v>
      </c>
      <c r="B3" s="2" t="s">
        <v>41</v>
      </c>
      <c r="C3" s="2" t="s">
        <v>9</v>
      </c>
      <c r="D3" s="2">
        <v>40</v>
      </c>
      <c r="E3" s="2">
        <v>15</v>
      </c>
      <c r="F3" s="2">
        <v>18</v>
      </c>
    </row>
    <row r="4" spans="1:6" ht="14.5" thickBot="1" x14ac:dyDescent="0.35">
      <c r="A4" s="2" t="s">
        <v>13</v>
      </c>
      <c r="B4" s="2" t="s">
        <v>42</v>
      </c>
      <c r="C4" s="2" t="s">
        <v>14</v>
      </c>
      <c r="D4" s="2">
        <v>100</v>
      </c>
      <c r="E4" s="2">
        <v>30</v>
      </c>
      <c r="F4" s="2">
        <v>22</v>
      </c>
    </row>
    <row r="5" spans="1:6" ht="14.5" thickBot="1" x14ac:dyDescent="0.35">
      <c r="A5" s="2" t="s">
        <v>28</v>
      </c>
      <c r="B5" s="2" t="s">
        <v>43</v>
      </c>
      <c r="C5" s="2" t="s">
        <v>14</v>
      </c>
      <c r="D5" s="2">
        <v>35</v>
      </c>
      <c r="E5" s="2">
        <v>15</v>
      </c>
      <c r="F5" s="2">
        <v>8</v>
      </c>
    </row>
    <row r="6" spans="1:6" ht="14.5" thickBot="1" x14ac:dyDescent="0.35">
      <c r="A6" s="2" t="s">
        <v>18</v>
      </c>
      <c r="B6" s="2" t="s">
        <v>44</v>
      </c>
      <c r="C6" s="2" t="s">
        <v>19</v>
      </c>
      <c r="D6" s="2">
        <v>20</v>
      </c>
      <c r="E6" s="2">
        <v>8</v>
      </c>
      <c r="F6" s="2">
        <v>14</v>
      </c>
    </row>
    <row r="7" spans="1:6" ht="14.5" thickBot="1" x14ac:dyDescent="0.35">
      <c r="A7" s="2" t="s">
        <v>32</v>
      </c>
      <c r="B7" s="2" t="s">
        <v>45</v>
      </c>
      <c r="C7" s="2" t="s">
        <v>19</v>
      </c>
      <c r="D7" s="2">
        <v>15</v>
      </c>
      <c r="E7" s="2">
        <v>5</v>
      </c>
      <c r="F7" s="2">
        <v>4</v>
      </c>
    </row>
    <row r="8" spans="1:6" ht="28.5" thickBot="1" x14ac:dyDescent="0.35">
      <c r="A8" s="2" t="s">
        <v>24</v>
      </c>
      <c r="B8" s="2" t="s">
        <v>46</v>
      </c>
      <c r="C8" s="2" t="s">
        <v>25</v>
      </c>
      <c r="D8" s="2">
        <v>80</v>
      </c>
      <c r="E8" s="2">
        <v>25</v>
      </c>
      <c r="F8" s="2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7B25-6A56-4B98-A053-403B18058F0D}">
  <dimension ref="A1:I9"/>
  <sheetViews>
    <sheetView tabSelected="1" zoomScale="142" zoomScaleNormal="160" workbookViewId="0">
      <selection activeCell="D10" sqref="D10"/>
    </sheetView>
  </sheetViews>
  <sheetFormatPr defaultRowHeight="14" x14ac:dyDescent="0.3"/>
  <cols>
    <col min="1" max="1" width="11.5" customWidth="1"/>
    <col min="6" max="6" width="17.59765625" customWidth="1"/>
    <col min="7" max="7" width="10.796875" customWidth="1"/>
    <col min="8" max="8" width="11.5" bestFit="1" customWidth="1"/>
    <col min="9" max="9" width="9.69921875" customWidth="1"/>
  </cols>
  <sheetData>
    <row r="1" spans="1:9" ht="17.5" x14ac:dyDescent="0.35">
      <c r="A1" s="5" t="s">
        <v>47</v>
      </c>
      <c r="B1" s="6"/>
      <c r="C1" s="6"/>
      <c r="D1" s="6"/>
      <c r="F1" s="8" t="s">
        <v>51</v>
      </c>
      <c r="G1" s="8"/>
      <c r="H1" s="8"/>
    </row>
    <row r="2" spans="1:9" x14ac:dyDescent="0.3">
      <c r="A2" s="7" t="s">
        <v>48</v>
      </c>
      <c r="B2" s="7" t="s">
        <v>49</v>
      </c>
      <c r="E2" s="7" t="s">
        <v>1</v>
      </c>
      <c r="F2" s="7" t="s">
        <v>36</v>
      </c>
      <c r="G2" s="7" t="s">
        <v>39</v>
      </c>
      <c r="H2" s="7" t="s">
        <v>38</v>
      </c>
      <c r="I2" s="7" t="s">
        <v>52</v>
      </c>
    </row>
    <row r="3" spans="1:9" x14ac:dyDescent="0.3">
      <c r="A3" s="7" t="s">
        <v>26</v>
      </c>
      <c r="B3" s="7">
        <f>COUNTIFS(Order_Master!F:F, "Pending")</f>
        <v>2</v>
      </c>
      <c r="E3" t="s">
        <v>8</v>
      </c>
      <c r="F3" t="str">
        <f>Inventory_Master!B2</f>
        <v>Wireless Headphones</v>
      </c>
      <c r="G3">
        <f>Inventory_Master!F2</f>
        <v>12</v>
      </c>
      <c r="H3">
        <f>Inventory_Master!E2</f>
        <v>20</v>
      </c>
      <c r="I3" t="str">
        <f>IF(G3 &lt;= H3, "LOW STOCK", "Sufficient")</f>
        <v>LOW STOCK</v>
      </c>
    </row>
    <row r="4" spans="1:9" x14ac:dyDescent="0.3">
      <c r="A4" s="7" t="s">
        <v>20</v>
      </c>
      <c r="B4" s="7">
        <f>COUNTIFS(Order_Master!F:F, "Dispatched")</f>
        <v>2</v>
      </c>
      <c r="E4" t="s">
        <v>22</v>
      </c>
      <c r="F4" t="str">
        <f>Inventory_Master!B3</f>
        <v>Mechanical Keyboard</v>
      </c>
      <c r="G4">
        <f>Inventory_Master!F3</f>
        <v>18</v>
      </c>
      <c r="H4">
        <f>Inventory_Master!E3</f>
        <v>15</v>
      </c>
      <c r="I4" t="str">
        <f t="shared" ref="I4:I9" si="0">IF(G4 &lt;= H4, "LOW STOCK", "Sufficient")</f>
        <v>Sufficient</v>
      </c>
    </row>
    <row r="5" spans="1:9" x14ac:dyDescent="0.3">
      <c r="A5" s="7" t="s">
        <v>10</v>
      </c>
      <c r="B5" s="7">
        <f>COUNTIFS(Order_Master!F:F, "Delivered")</f>
        <v>5</v>
      </c>
      <c r="E5" t="s">
        <v>13</v>
      </c>
      <c r="F5" t="str">
        <f>Inventory_Master!B4</f>
        <v>Cotton T-Shirt</v>
      </c>
      <c r="G5">
        <f>Inventory_Master!F4</f>
        <v>22</v>
      </c>
      <c r="H5">
        <f>Inventory_Master!E4</f>
        <v>30</v>
      </c>
      <c r="I5" t="str">
        <f t="shared" si="0"/>
        <v>LOW STOCK</v>
      </c>
    </row>
    <row r="6" spans="1:9" x14ac:dyDescent="0.3">
      <c r="A6" s="7" t="s">
        <v>15</v>
      </c>
      <c r="B6" s="7">
        <f>COUNTIFS(Order_Master!F:F, "Returned")</f>
        <v>3</v>
      </c>
      <c r="E6" t="s">
        <v>28</v>
      </c>
      <c r="F6" t="str">
        <f>Inventory_Master!B5</f>
        <v>Denim Jacket</v>
      </c>
      <c r="G6">
        <f>Inventory_Master!F5</f>
        <v>8</v>
      </c>
      <c r="H6">
        <f>Inventory_Master!E5</f>
        <v>15</v>
      </c>
      <c r="I6" t="str">
        <f t="shared" si="0"/>
        <v>LOW STOCK</v>
      </c>
    </row>
    <row r="7" spans="1:9" x14ac:dyDescent="0.3">
      <c r="A7" s="7" t="s">
        <v>50</v>
      </c>
      <c r="B7" s="9">
        <f>B6 / COUNTA(Order_Master!A2:A13)</f>
        <v>0.25</v>
      </c>
      <c r="E7" t="s">
        <v>18</v>
      </c>
      <c r="F7" t="str">
        <f>Inventory_Master!B6</f>
        <v>Ergonomic Chair</v>
      </c>
      <c r="G7">
        <f>Inventory_Master!F6</f>
        <v>14</v>
      </c>
      <c r="H7">
        <f>Inventory_Master!E6</f>
        <v>8</v>
      </c>
      <c r="I7" t="str">
        <f t="shared" si="0"/>
        <v>Sufficient</v>
      </c>
    </row>
    <row r="8" spans="1:9" x14ac:dyDescent="0.3">
      <c r="E8" t="s">
        <v>32</v>
      </c>
      <c r="F8" t="str">
        <f>Inventory_Master!B7</f>
        <v>Standing Desk</v>
      </c>
      <c r="G8">
        <f>Inventory_Master!F7</f>
        <v>4</v>
      </c>
      <c r="H8">
        <f>Inventory_Master!E7</f>
        <v>5</v>
      </c>
      <c r="I8" t="str">
        <f t="shared" si="0"/>
        <v>LOW STOCK</v>
      </c>
    </row>
    <row r="9" spans="1:9" x14ac:dyDescent="0.3">
      <c r="E9" t="s">
        <v>24</v>
      </c>
      <c r="F9" t="str">
        <f>Inventory_Master!B8</f>
        <v>Stainless Water Bottle</v>
      </c>
      <c r="G9">
        <f>Inventory_Master!F8</f>
        <v>35</v>
      </c>
      <c r="H9">
        <f>Inventory_Master!E8</f>
        <v>25</v>
      </c>
      <c r="I9" t="str">
        <f t="shared" si="0"/>
        <v>Sufficient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B3:B6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Order_Master</vt:lpstr>
      <vt:lpstr>Inventory_Master</vt:lpstr>
      <vt:lpstr>Audit_Dashboard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panjeta</dc:creator>
  <cp:lastModifiedBy>jyoti panjeta</cp:lastModifiedBy>
  <dcterms:created xsi:type="dcterms:W3CDTF">2026-08-08T10:04:44Z</dcterms:created>
  <dcterms:modified xsi:type="dcterms:W3CDTF">2026-08-08T10:30:26Z</dcterms:modified>
</cp:coreProperties>
</file>