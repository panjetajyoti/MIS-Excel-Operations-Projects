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yoti\Desktop\"/>
    </mc:Choice>
  </mc:AlternateContent>
  <xr:revisionPtr revIDLastSave="0" documentId="13_ncr:1_{CFD75B1B-564A-45CA-93AF-AC4761F53390}" xr6:coauthVersionLast="47" xr6:coauthVersionMax="47" xr10:uidLastSave="{00000000-0000-0000-0000-000000000000}"/>
  <bookViews>
    <workbookView xWindow="-110" yWindow="-110" windowWidth="19420" windowHeight="11020" xr2:uid="{243C96DA-3217-46C2-AC50-B68E70EAC7BC}"/>
  </bookViews>
  <sheets>
    <sheet name="Employee_Master" sheetId="1" r:id="rId1"/>
    <sheet name="Attendance_Summary" sheetId="2" r:id="rId2"/>
    <sheet name="Payroll_Dashboard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3" l="1"/>
  <c r="I7" i="3"/>
  <c r="I8" i="3"/>
  <c r="I9" i="3"/>
  <c r="I10" i="3"/>
  <c r="I11" i="3"/>
  <c r="I12" i="3"/>
  <c r="I13" i="3"/>
  <c r="I14" i="3"/>
  <c r="I5" i="3"/>
  <c r="H6" i="3"/>
  <c r="H7" i="3"/>
  <c r="H8" i="3"/>
  <c r="H9" i="3"/>
  <c r="H10" i="3"/>
  <c r="H11" i="3"/>
  <c r="H12" i="3"/>
  <c r="H13" i="3"/>
  <c r="H14" i="3"/>
  <c r="H5" i="3"/>
  <c r="G6" i="3"/>
  <c r="G7" i="3"/>
  <c r="G8" i="3"/>
  <c r="G9" i="3"/>
  <c r="G10" i="3"/>
  <c r="G11" i="3"/>
  <c r="G12" i="3"/>
  <c r="G13" i="3"/>
  <c r="G14" i="3"/>
  <c r="G5" i="3"/>
  <c r="F6" i="3"/>
  <c r="F7" i="3"/>
  <c r="F8" i="3"/>
  <c r="F9" i="3"/>
  <c r="F10" i="3"/>
  <c r="F11" i="3"/>
  <c r="F12" i="3"/>
  <c r="F13" i="3"/>
  <c r="F14" i="3"/>
  <c r="F5" i="3"/>
  <c r="I2" i="1"/>
  <c r="I3" i="1"/>
  <c r="I4" i="1"/>
  <c r="I5" i="1"/>
  <c r="I6" i="1"/>
  <c r="I7" i="1"/>
  <c r="I8" i="1"/>
  <c r="I9" i="1"/>
  <c r="I10" i="1"/>
  <c r="I11" i="1"/>
</calcChain>
</file>

<file path=xl/sharedStrings.xml><?xml version="1.0" encoding="utf-8"?>
<sst xmlns="http://schemas.openxmlformats.org/spreadsheetml/2006/main" count="105" uniqueCount="55">
  <si>
    <t>Emp_ID</t>
  </si>
  <si>
    <t>Emp_Name</t>
  </si>
  <si>
    <t>Department</t>
  </si>
  <si>
    <t>Designation</t>
  </si>
  <si>
    <t>Basic_Salary</t>
  </si>
  <si>
    <t>HRA</t>
  </si>
  <si>
    <t>Special_Allowance</t>
  </si>
  <si>
    <t>Gross_Salary</t>
  </si>
  <si>
    <t>EMP101</t>
  </si>
  <si>
    <t>Rahul Sharma</t>
  </si>
  <si>
    <t>IT</t>
  </si>
  <si>
    <t>Software Engineer</t>
  </si>
  <si>
    <t>EMP102</t>
  </si>
  <si>
    <t>Priya Singh</t>
  </si>
  <si>
    <t>HR</t>
  </si>
  <si>
    <t>HR Manager</t>
  </si>
  <si>
    <t>EMP103</t>
  </si>
  <si>
    <t>Amit Verma</t>
  </si>
  <si>
    <t>Operations</t>
  </si>
  <si>
    <t>Operations Lead</t>
  </si>
  <si>
    <t>EMP104</t>
  </si>
  <si>
    <t>Sneha Patel</t>
  </si>
  <si>
    <t>Marketing</t>
  </si>
  <si>
    <t>Marketing Analyst</t>
  </si>
  <si>
    <t>EMP105</t>
  </si>
  <si>
    <t>Vikram Rao</t>
  </si>
  <si>
    <t>Finance</t>
  </si>
  <si>
    <t>Financial Analyst</t>
  </si>
  <si>
    <t>EMP106</t>
  </si>
  <si>
    <t>Ananya Roy</t>
  </si>
  <si>
    <t>QA Engineer</t>
  </si>
  <si>
    <t>EMP107</t>
  </si>
  <si>
    <t>Karan Mehta</t>
  </si>
  <si>
    <t>Sales</t>
  </si>
  <si>
    <t>Sales Executive</t>
  </si>
  <si>
    <t>EMP108</t>
  </si>
  <si>
    <t>Pooja Joshi</t>
  </si>
  <si>
    <t>HR Recruiter</t>
  </si>
  <si>
    <t>EMP109</t>
  </si>
  <si>
    <t>Rohit Kumar</t>
  </si>
  <si>
    <t>Logistics Executive</t>
  </si>
  <si>
    <t>EMP110</t>
  </si>
  <si>
    <t>Neha Gupta</t>
  </si>
  <si>
    <t>UI/UX Designer</t>
  </si>
  <si>
    <t>Total_Working_Days</t>
  </si>
  <si>
    <t>Days_Present</t>
  </si>
  <si>
    <t>Paid_Leaves</t>
  </si>
  <si>
    <t>Unpaid_Leaves</t>
  </si>
  <si>
    <t>Overtime_Hours</t>
  </si>
  <si>
    <t>Overtime_Rate_Per_Hour</t>
  </si>
  <si>
    <t>PAYROLL_DASHBOARD</t>
  </si>
  <si>
    <t>Leave_Deduction</t>
  </si>
  <si>
    <t>Overtime_Pay</t>
  </si>
  <si>
    <t>Net_Salary</t>
  </si>
  <si>
    <t>PF_Deduction(12%)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</si>
</sst>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 [$₹-4009]\ * #,##0.00_ ;_ [$₹-4009]\ * \-#,##0.00_ ;_ [$₹-4009]\ * &quot;-&quot;??_ ;_ @_ "/>
  </numFmts>
  <fonts count="5">
    <font>
      <sz val="11"/>
      <color theme="1"/>
      <name val="Bahnschrift Condensed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color rgb="FF1F1F1F"/>
      <name val="Google Sans Text"/>
      <family val="2"/>
    </font>
    <font>
      <sz val="36"/>
      <color theme="1"/>
      <name val="Bahnschrift Condensed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0" fillId="0" borderId="0" xfId="0" applyNumberFormat="1"/>
    <xf numFmtId="0" fontId="0" fillId="0" borderId="1" xfId="0" applyFont="1" applyBorder="1" applyAlignment="1">
      <alignment horizontal="left" vertical="center" wrapText="1" indent="1" readingOrder="1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ttendence_Summary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ployee_Master"/>
      <sheetName val="Attendance_Summary"/>
      <sheetName val="Payroll_Dashboard"/>
    </sheetNames>
    <sheetDataSet>
      <sheetData sheetId="0"/>
      <sheetData sheetId="1">
        <row r="2">
          <cell r="F2">
            <v>10</v>
          </cell>
          <cell r="G2">
            <v>300</v>
          </cell>
        </row>
        <row r="3">
          <cell r="F3">
            <v>0</v>
          </cell>
          <cell r="G3">
            <v>350</v>
          </cell>
        </row>
        <row r="4">
          <cell r="F4">
            <v>15</v>
          </cell>
          <cell r="G4">
            <v>250</v>
          </cell>
        </row>
        <row r="5">
          <cell r="F5">
            <v>5</v>
          </cell>
          <cell r="G5">
            <v>200</v>
          </cell>
        </row>
        <row r="6">
          <cell r="F6">
            <v>8</v>
          </cell>
          <cell r="G6">
            <v>320</v>
          </cell>
        </row>
        <row r="7">
          <cell r="F7">
            <v>12</v>
          </cell>
          <cell r="G7">
            <v>250</v>
          </cell>
        </row>
        <row r="8">
          <cell r="F8">
            <v>20</v>
          </cell>
          <cell r="G8">
            <v>180</v>
          </cell>
        </row>
        <row r="9">
          <cell r="F9">
            <v>0</v>
          </cell>
          <cell r="G9">
            <v>200</v>
          </cell>
        </row>
        <row r="10">
          <cell r="F10">
            <v>18</v>
          </cell>
          <cell r="G10">
            <v>180</v>
          </cell>
        </row>
        <row r="11">
          <cell r="F11">
            <v>6</v>
          </cell>
          <cell r="G11">
            <v>280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9A2A9-06FE-4D8A-A7F9-8395940C6D2E}">
  <dimension ref="B1:I11"/>
  <sheetViews>
    <sheetView tabSelected="1" zoomScale="83" zoomScaleNormal="100" workbookViewId="0">
      <selection activeCell="F14" sqref="F14"/>
    </sheetView>
  </sheetViews>
  <sheetFormatPr defaultRowHeight="14"/>
  <cols>
    <col min="2" max="2" width="14.3984375" customWidth="1"/>
    <col min="3" max="3" width="18" customWidth="1"/>
    <col min="4" max="4" width="18.59765625" customWidth="1"/>
    <col min="5" max="5" width="18" customWidth="1"/>
    <col min="6" max="6" width="27.796875" customWidth="1"/>
    <col min="7" max="7" width="27.19921875" customWidth="1"/>
    <col min="8" max="8" width="37.3984375" customWidth="1"/>
  </cols>
  <sheetData>
    <row r="1" spans="2:9" ht="4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2:9" ht="28">
      <c r="B2" s="2" t="s">
        <v>8</v>
      </c>
      <c r="C2" s="2" t="s">
        <v>9</v>
      </c>
      <c r="D2" s="2" t="s">
        <v>10</v>
      </c>
      <c r="E2" s="2" t="s">
        <v>11</v>
      </c>
      <c r="F2" s="2">
        <v>45000</v>
      </c>
      <c r="G2" s="2">
        <v>18000</v>
      </c>
      <c r="H2" s="2">
        <v>7000</v>
      </c>
      <c r="I2" s="3">
        <f>F2+G2+H2</f>
        <v>70000</v>
      </c>
    </row>
    <row r="3" spans="2:9">
      <c r="B3" s="2" t="s">
        <v>12</v>
      </c>
      <c r="C3" s="2" t="s">
        <v>13</v>
      </c>
      <c r="D3" s="2" t="s">
        <v>14</v>
      </c>
      <c r="E3" s="2" t="s">
        <v>15</v>
      </c>
      <c r="F3" s="2">
        <v>50000</v>
      </c>
      <c r="G3" s="2">
        <v>20000</v>
      </c>
      <c r="H3" s="2">
        <v>10000</v>
      </c>
      <c r="I3" s="3">
        <f>F3+G3+H3</f>
        <v>80000</v>
      </c>
    </row>
    <row r="4" spans="2:9" ht="28">
      <c r="B4" s="2" t="s">
        <v>16</v>
      </c>
      <c r="C4" s="2" t="s">
        <v>17</v>
      </c>
      <c r="D4" s="2" t="s">
        <v>18</v>
      </c>
      <c r="E4" s="2" t="s">
        <v>19</v>
      </c>
      <c r="F4" s="2">
        <v>40000</v>
      </c>
      <c r="G4" s="2">
        <v>16000</v>
      </c>
      <c r="H4" s="2">
        <v>6000</v>
      </c>
      <c r="I4" s="3">
        <f>F4+G4+H4</f>
        <v>62000</v>
      </c>
    </row>
    <row r="5" spans="2:9" ht="28">
      <c r="B5" s="2" t="s">
        <v>20</v>
      </c>
      <c r="C5" s="2" t="s">
        <v>21</v>
      </c>
      <c r="D5" s="2" t="s">
        <v>22</v>
      </c>
      <c r="E5" s="2" t="s">
        <v>23</v>
      </c>
      <c r="F5" s="2">
        <v>35000</v>
      </c>
      <c r="G5" s="2">
        <v>14000</v>
      </c>
      <c r="H5" s="2">
        <v>5000</v>
      </c>
      <c r="I5" s="3">
        <f>F5+G5+H5</f>
        <v>54000</v>
      </c>
    </row>
    <row r="6" spans="2:9" ht="28">
      <c r="B6" s="2" t="s">
        <v>24</v>
      </c>
      <c r="C6" s="2" t="s">
        <v>25</v>
      </c>
      <c r="D6" s="2" t="s">
        <v>26</v>
      </c>
      <c r="E6" s="2" t="s">
        <v>27</v>
      </c>
      <c r="F6" s="2">
        <v>48000</v>
      </c>
      <c r="G6" s="2">
        <v>19200</v>
      </c>
      <c r="H6" s="2">
        <v>8000</v>
      </c>
      <c r="I6" s="3">
        <f>F6+G6+H6</f>
        <v>75200</v>
      </c>
    </row>
    <row r="7" spans="2:9">
      <c r="B7" s="2" t="s">
        <v>28</v>
      </c>
      <c r="C7" s="2" t="s">
        <v>29</v>
      </c>
      <c r="D7" s="2" t="s">
        <v>10</v>
      </c>
      <c r="E7" s="2" t="s">
        <v>30</v>
      </c>
      <c r="F7" s="2">
        <v>38000</v>
      </c>
      <c r="G7" s="2">
        <v>15200</v>
      </c>
      <c r="H7" s="2">
        <v>5000</v>
      </c>
      <c r="I7" s="3">
        <f>F7+G7+H7</f>
        <v>58200</v>
      </c>
    </row>
    <row r="8" spans="2:9">
      <c r="B8" s="2" t="s">
        <v>31</v>
      </c>
      <c r="C8" s="2" t="s">
        <v>32</v>
      </c>
      <c r="D8" s="2" t="s">
        <v>33</v>
      </c>
      <c r="E8" s="2" t="s">
        <v>34</v>
      </c>
      <c r="F8" s="2">
        <v>30000</v>
      </c>
      <c r="G8" s="2">
        <v>12000</v>
      </c>
      <c r="H8" s="2">
        <v>4000</v>
      </c>
      <c r="I8" s="3">
        <f>F8+G8+H8</f>
        <v>46000</v>
      </c>
    </row>
    <row r="9" spans="2:9">
      <c r="B9" s="2" t="s">
        <v>35</v>
      </c>
      <c r="C9" s="2" t="s">
        <v>36</v>
      </c>
      <c r="D9" s="2" t="s">
        <v>14</v>
      </c>
      <c r="E9" s="2" t="s">
        <v>37</v>
      </c>
      <c r="F9" s="2">
        <v>32000</v>
      </c>
      <c r="G9" s="2">
        <v>12800</v>
      </c>
      <c r="H9" s="2">
        <v>4000</v>
      </c>
      <c r="I9" s="3">
        <f>F9+G9+H9</f>
        <v>48800</v>
      </c>
    </row>
    <row r="10" spans="2:9" ht="28">
      <c r="B10" s="2" t="s">
        <v>38</v>
      </c>
      <c r="C10" s="2" t="s">
        <v>39</v>
      </c>
      <c r="D10" s="2" t="s">
        <v>18</v>
      </c>
      <c r="E10" s="2" t="s">
        <v>40</v>
      </c>
      <c r="F10" s="2">
        <v>28000</v>
      </c>
      <c r="G10" s="2">
        <v>11200</v>
      </c>
      <c r="H10" s="2">
        <v>3500</v>
      </c>
      <c r="I10" s="3">
        <f>F10+G10+H10</f>
        <v>42700</v>
      </c>
    </row>
    <row r="11" spans="2:9">
      <c r="B11" s="2" t="s">
        <v>41</v>
      </c>
      <c r="C11" s="2" t="s">
        <v>42</v>
      </c>
      <c r="D11" s="2" t="s">
        <v>10</v>
      </c>
      <c r="E11" s="2" t="s">
        <v>43</v>
      </c>
      <c r="F11" s="2">
        <v>42000</v>
      </c>
      <c r="G11" s="2">
        <v>16800</v>
      </c>
      <c r="H11" s="2">
        <v>6200</v>
      </c>
      <c r="I11" s="3">
        <f>F11+G11+H11</f>
        <v>65000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92D03-E774-4316-B4A8-182B16910DC3}">
  <dimension ref="A1:G11"/>
  <sheetViews>
    <sheetView zoomScaleNormal="100" workbookViewId="0">
      <selection activeCell="E2" sqref="E2:E11"/>
    </sheetView>
  </sheetViews>
  <sheetFormatPr defaultRowHeight="14"/>
  <cols>
    <col min="1" max="1" width="12.5" customWidth="1"/>
    <col min="2" max="2" width="24.5" customWidth="1"/>
    <col min="3" max="3" width="18.8984375" customWidth="1"/>
    <col min="4" max="4" width="18.59765625" customWidth="1"/>
    <col min="5" max="5" width="23.3984375" customWidth="1"/>
    <col min="6" max="6" width="23.796875" customWidth="1"/>
    <col min="7" max="7" width="41.296875" customWidth="1"/>
  </cols>
  <sheetData>
    <row r="1" spans="1:7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>
      <c r="A2" s="2" t="s">
        <v>8</v>
      </c>
      <c r="B2" s="2">
        <v>26</v>
      </c>
      <c r="C2" s="2">
        <v>24</v>
      </c>
      <c r="D2" s="2">
        <v>2</v>
      </c>
      <c r="E2" s="2">
        <v>0</v>
      </c>
      <c r="F2" s="2">
        <v>10</v>
      </c>
      <c r="G2" s="2">
        <v>300</v>
      </c>
    </row>
    <row r="3" spans="1:7">
      <c r="A3" s="2" t="s">
        <v>12</v>
      </c>
      <c r="B3" s="2">
        <v>26</v>
      </c>
      <c r="C3" s="2">
        <v>23</v>
      </c>
      <c r="D3" s="2">
        <v>2</v>
      </c>
      <c r="E3" s="2">
        <v>1</v>
      </c>
      <c r="F3" s="2">
        <v>0</v>
      </c>
      <c r="G3" s="2">
        <v>350</v>
      </c>
    </row>
    <row r="4" spans="1:7">
      <c r="A4" s="2" t="s">
        <v>16</v>
      </c>
      <c r="B4" s="2">
        <v>26</v>
      </c>
      <c r="C4" s="2">
        <v>22</v>
      </c>
      <c r="D4" s="2">
        <v>1</v>
      </c>
      <c r="E4" s="2">
        <v>3</v>
      </c>
      <c r="F4" s="2">
        <v>15</v>
      </c>
      <c r="G4" s="2">
        <v>250</v>
      </c>
    </row>
    <row r="5" spans="1:7">
      <c r="A5" s="2" t="s">
        <v>20</v>
      </c>
      <c r="B5" s="2">
        <v>26</v>
      </c>
      <c r="C5" s="2">
        <v>25</v>
      </c>
      <c r="D5" s="2">
        <v>1</v>
      </c>
      <c r="E5" s="2">
        <v>0</v>
      </c>
      <c r="F5" s="2">
        <v>5</v>
      </c>
      <c r="G5" s="2">
        <v>200</v>
      </c>
    </row>
    <row r="6" spans="1:7">
      <c r="A6" s="2" t="s">
        <v>24</v>
      </c>
      <c r="B6" s="2">
        <v>26</v>
      </c>
      <c r="C6" s="2">
        <v>21</v>
      </c>
      <c r="D6" s="2">
        <v>2</v>
      </c>
      <c r="E6" s="2">
        <v>3</v>
      </c>
      <c r="F6" s="2">
        <v>8</v>
      </c>
      <c r="G6" s="2">
        <v>320</v>
      </c>
    </row>
    <row r="7" spans="1:7">
      <c r="A7" s="2" t="s">
        <v>28</v>
      </c>
      <c r="B7" s="2">
        <v>26</v>
      </c>
      <c r="C7" s="2">
        <v>26</v>
      </c>
      <c r="D7" s="2">
        <v>0</v>
      </c>
      <c r="E7" s="2">
        <v>0</v>
      </c>
      <c r="F7" s="2">
        <v>12</v>
      </c>
      <c r="G7" s="2">
        <v>250</v>
      </c>
    </row>
    <row r="8" spans="1:7">
      <c r="A8" s="2" t="s">
        <v>31</v>
      </c>
      <c r="B8" s="2">
        <v>26</v>
      </c>
      <c r="C8" s="2">
        <v>20</v>
      </c>
      <c r="D8" s="2">
        <v>2</v>
      </c>
      <c r="E8" s="2">
        <v>4</v>
      </c>
      <c r="F8" s="2">
        <v>20</v>
      </c>
      <c r="G8" s="2">
        <v>180</v>
      </c>
    </row>
    <row r="9" spans="1:7">
      <c r="A9" s="2" t="s">
        <v>35</v>
      </c>
      <c r="B9" s="2">
        <v>26</v>
      </c>
      <c r="C9" s="2">
        <v>24</v>
      </c>
      <c r="D9" s="2">
        <v>1</v>
      </c>
      <c r="E9" s="2">
        <v>1</v>
      </c>
      <c r="F9" s="2">
        <v>0</v>
      </c>
      <c r="G9" s="2">
        <v>200</v>
      </c>
    </row>
    <row r="10" spans="1:7">
      <c r="A10" s="2" t="s">
        <v>38</v>
      </c>
      <c r="B10" s="2">
        <v>26</v>
      </c>
      <c r="C10" s="2">
        <v>22</v>
      </c>
      <c r="D10" s="2">
        <v>2</v>
      </c>
      <c r="E10" s="2">
        <v>2</v>
      </c>
      <c r="F10" s="2">
        <v>18</v>
      </c>
      <c r="G10" s="2">
        <v>180</v>
      </c>
    </row>
    <row r="11" spans="1:7">
      <c r="A11" s="2" t="s">
        <v>41</v>
      </c>
      <c r="B11" s="2">
        <v>26</v>
      </c>
      <c r="C11" s="2">
        <v>25</v>
      </c>
      <c r="D11" s="2">
        <v>1</v>
      </c>
      <c r="E11" s="2">
        <v>0</v>
      </c>
      <c r="F11" s="2">
        <v>6</v>
      </c>
      <c r="G11" s="2">
        <v>280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9A563-12BC-45EC-A412-5E05E5408932}">
  <dimension ref="A1:I14"/>
  <sheetViews>
    <sheetView zoomScale="114" zoomScaleNormal="64" workbookViewId="0">
      <selection activeCell="G16" sqref="G16"/>
    </sheetView>
  </sheetViews>
  <sheetFormatPr defaultRowHeight="14"/>
  <cols>
    <col min="1" max="1" width="14.69921875" customWidth="1"/>
    <col min="2" max="2" width="16.8984375" customWidth="1"/>
    <col min="3" max="3" width="14.19921875" customWidth="1"/>
    <col min="4" max="4" width="17.09765625" customWidth="1"/>
    <col min="5" max="5" width="13.09765625" customWidth="1"/>
    <col min="6" max="6" width="13" customWidth="1"/>
    <col min="7" max="7" width="12" customWidth="1"/>
    <col min="8" max="8" width="14.5" customWidth="1"/>
    <col min="9" max="9" width="9.8984375" bestFit="1" customWidth="1"/>
  </cols>
  <sheetData>
    <row r="1" spans="1:9">
      <c r="A1" s="4" t="s">
        <v>50</v>
      </c>
      <c r="B1" s="5"/>
      <c r="C1" s="5"/>
      <c r="D1" s="5"/>
      <c r="E1" s="6"/>
    </row>
    <row r="2" spans="1:9">
      <c r="A2" s="7"/>
      <c r="B2" s="8"/>
      <c r="C2" s="8"/>
      <c r="D2" s="8"/>
      <c r="E2" s="9"/>
    </row>
    <row r="3" spans="1:9">
      <c r="A3" s="10"/>
      <c r="B3" s="11"/>
      <c r="C3" s="11"/>
      <c r="D3" s="11"/>
      <c r="E3" s="12"/>
    </row>
    <row r="4" spans="1:9">
      <c r="A4" t="s">
        <v>0</v>
      </c>
      <c r="B4" s="13" t="s">
        <v>1</v>
      </c>
      <c r="C4" t="s">
        <v>2</v>
      </c>
      <c r="D4" t="s">
        <v>7</v>
      </c>
      <c r="E4" t="s">
        <v>47</v>
      </c>
      <c r="F4" t="s">
        <v>51</v>
      </c>
      <c r="G4" t="s">
        <v>52</v>
      </c>
      <c r="H4" t="s">
        <v>54</v>
      </c>
      <c r="I4" t="s">
        <v>53</v>
      </c>
    </row>
    <row r="5" spans="1:9">
      <c r="A5" s="2" t="s">
        <v>8</v>
      </c>
      <c r="B5" s="2" t="s">
        <v>9</v>
      </c>
      <c r="C5" s="2" t="s">
        <v>10</v>
      </c>
      <c r="D5" s="3">
        <v>70000</v>
      </c>
      <c r="E5" s="2">
        <v>0</v>
      </c>
      <c r="F5">
        <f>(D5/26)*E5</f>
        <v>0</v>
      </c>
      <c r="G5">
        <f>[1]Attendance_Summary!F2*[1]Attendance_Summary!G2</f>
        <v>3000</v>
      </c>
      <c r="H5">
        <f>Employee_Master!F2*0.12</f>
        <v>5400</v>
      </c>
      <c r="I5" s="15">
        <f>D5-F5+G5-H5</f>
        <v>67600</v>
      </c>
    </row>
    <row r="6" spans="1:9">
      <c r="A6" s="2" t="s">
        <v>12</v>
      </c>
      <c r="B6" s="2" t="s">
        <v>13</v>
      </c>
      <c r="C6" s="2" t="s">
        <v>14</v>
      </c>
      <c r="D6" s="14">
        <v>80000</v>
      </c>
      <c r="E6" s="2">
        <v>1</v>
      </c>
      <c r="F6">
        <f t="shared" ref="F6:F14" si="0">(D6/26)*E6</f>
        <v>3076.9230769230771</v>
      </c>
      <c r="G6">
        <f>[1]Attendance_Summary!F3*[1]Attendance_Summary!G3</f>
        <v>0</v>
      </c>
      <c r="H6">
        <f>Employee_Master!F3*0.12</f>
        <v>6000</v>
      </c>
      <c r="I6" s="15">
        <f t="shared" ref="I6:I14" si="1">D6-F6+G6-H6</f>
        <v>70923.076923076922</v>
      </c>
    </row>
    <row r="7" spans="1:9">
      <c r="A7" s="2" t="s">
        <v>16</v>
      </c>
      <c r="B7" s="2" t="s">
        <v>17</v>
      </c>
      <c r="C7" s="2" t="s">
        <v>18</v>
      </c>
      <c r="D7" s="14">
        <v>62000</v>
      </c>
      <c r="E7" s="2">
        <v>3</v>
      </c>
      <c r="F7">
        <f t="shared" si="0"/>
        <v>7153.8461538461543</v>
      </c>
      <c r="G7">
        <f>[1]Attendance_Summary!F4*[1]Attendance_Summary!G4</f>
        <v>3750</v>
      </c>
      <c r="H7">
        <f>Employee_Master!F4*0.12</f>
        <v>4800</v>
      </c>
      <c r="I7" s="15">
        <f t="shared" si="1"/>
        <v>53796.153846153844</v>
      </c>
    </row>
    <row r="8" spans="1:9">
      <c r="A8" s="2" t="s">
        <v>20</v>
      </c>
      <c r="B8" s="2" t="s">
        <v>21</v>
      </c>
      <c r="C8" s="2" t="s">
        <v>22</v>
      </c>
      <c r="D8" s="14">
        <v>54000</v>
      </c>
      <c r="E8" s="2">
        <v>0</v>
      </c>
      <c r="F8">
        <f t="shared" si="0"/>
        <v>0</v>
      </c>
      <c r="G8">
        <f>[1]Attendance_Summary!F5*[1]Attendance_Summary!G5</f>
        <v>1000</v>
      </c>
      <c r="H8">
        <f>Employee_Master!F5*0.12</f>
        <v>4200</v>
      </c>
      <c r="I8" s="15">
        <f t="shared" si="1"/>
        <v>50800</v>
      </c>
    </row>
    <row r="9" spans="1:9">
      <c r="A9" s="2" t="s">
        <v>24</v>
      </c>
      <c r="B9" s="2" t="s">
        <v>25</v>
      </c>
      <c r="C9" s="2" t="s">
        <v>26</v>
      </c>
      <c r="D9" s="14">
        <v>75200</v>
      </c>
      <c r="E9" s="2">
        <v>3</v>
      </c>
      <c r="F9">
        <f t="shared" si="0"/>
        <v>8676.923076923078</v>
      </c>
      <c r="G9">
        <f>[1]Attendance_Summary!F6*[1]Attendance_Summary!G6</f>
        <v>2560</v>
      </c>
      <c r="H9">
        <f>Employee_Master!F6*0.12</f>
        <v>5760</v>
      </c>
      <c r="I9" s="15">
        <f t="shared" si="1"/>
        <v>63323.076923076922</v>
      </c>
    </row>
    <row r="10" spans="1:9">
      <c r="A10" s="2" t="s">
        <v>28</v>
      </c>
      <c r="B10" s="2" t="s">
        <v>29</v>
      </c>
      <c r="C10" s="2" t="s">
        <v>10</v>
      </c>
      <c r="D10" s="14">
        <v>58200</v>
      </c>
      <c r="E10" s="2">
        <v>0</v>
      </c>
      <c r="F10">
        <f t="shared" si="0"/>
        <v>0</v>
      </c>
      <c r="G10">
        <f>[1]Attendance_Summary!F7*[1]Attendance_Summary!G7</f>
        <v>3000</v>
      </c>
      <c r="H10">
        <f>Employee_Master!F7*0.12</f>
        <v>4560</v>
      </c>
      <c r="I10" s="15">
        <f t="shared" si="1"/>
        <v>56640</v>
      </c>
    </row>
    <row r="11" spans="1:9">
      <c r="A11" s="2" t="s">
        <v>31</v>
      </c>
      <c r="B11" s="2" t="s">
        <v>32</v>
      </c>
      <c r="C11" s="2" t="s">
        <v>33</v>
      </c>
      <c r="D11" s="14">
        <v>46000</v>
      </c>
      <c r="E11" s="2">
        <v>4</v>
      </c>
      <c r="F11">
        <f t="shared" si="0"/>
        <v>7076.9230769230771</v>
      </c>
      <c r="G11">
        <f>[1]Attendance_Summary!F8*[1]Attendance_Summary!G8</f>
        <v>3600</v>
      </c>
      <c r="H11">
        <f>Employee_Master!F8*0.12</f>
        <v>3600</v>
      </c>
      <c r="I11" s="15">
        <f t="shared" si="1"/>
        <v>38923.076923076922</v>
      </c>
    </row>
    <row r="12" spans="1:9">
      <c r="A12" s="2" t="s">
        <v>35</v>
      </c>
      <c r="B12" s="2" t="s">
        <v>36</v>
      </c>
      <c r="C12" s="2" t="s">
        <v>14</v>
      </c>
      <c r="D12" s="14">
        <v>48800</v>
      </c>
      <c r="E12" s="2">
        <v>1</v>
      </c>
      <c r="F12">
        <f t="shared" si="0"/>
        <v>1876.9230769230769</v>
      </c>
      <c r="G12">
        <f>[1]Attendance_Summary!F9*[1]Attendance_Summary!G9</f>
        <v>0</v>
      </c>
      <c r="H12">
        <f>Employee_Master!F9*0.12</f>
        <v>3840</v>
      </c>
      <c r="I12" s="15">
        <f t="shared" si="1"/>
        <v>43083.076923076922</v>
      </c>
    </row>
    <row r="13" spans="1:9">
      <c r="A13" s="2" t="s">
        <v>38</v>
      </c>
      <c r="B13" s="2" t="s">
        <v>39</v>
      </c>
      <c r="C13" s="2" t="s">
        <v>18</v>
      </c>
      <c r="D13" s="14">
        <v>42700</v>
      </c>
      <c r="E13" s="2">
        <v>2</v>
      </c>
      <c r="F13">
        <f t="shared" si="0"/>
        <v>3284.6153846153848</v>
      </c>
      <c r="G13">
        <f>[1]Attendance_Summary!F10*[1]Attendance_Summary!G10</f>
        <v>3240</v>
      </c>
      <c r="H13">
        <f>Employee_Master!F10*0.12</f>
        <v>3360</v>
      </c>
      <c r="I13" s="15">
        <f t="shared" si="1"/>
        <v>39295.384615384617</v>
      </c>
    </row>
    <row r="14" spans="1:9">
      <c r="A14" s="2" t="s">
        <v>41</v>
      </c>
      <c r="B14" s="2" t="s">
        <v>42</v>
      </c>
      <c r="C14" s="2" t="s">
        <v>10</v>
      </c>
      <c r="D14" s="14">
        <v>65000</v>
      </c>
      <c r="E14" s="2">
        <v>0</v>
      </c>
      <c r="F14">
        <f t="shared" si="0"/>
        <v>0</v>
      </c>
      <c r="G14">
        <f>[1]Attendance_Summary!F11*[1]Attendance_Summary!G11</f>
        <v>1680</v>
      </c>
      <c r="H14">
        <f>Employee_Master!F11*0.12</f>
        <v>5040</v>
      </c>
      <c r="I14" s="15">
        <f t="shared" si="1"/>
        <v>61640</v>
      </c>
    </row>
  </sheetData>
  <mergeCells count="1">
    <mergeCell ref="A1: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Employee_Master</vt:lpstr>
      <vt:lpstr>Attendance_Summary</vt:lpstr>
      <vt:lpstr>Payroll_Dashboard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panjeta</dc:creator>
  <cp:lastModifiedBy>jyoti panjeta</cp:lastModifiedBy>
  <dcterms:created xsi:type="dcterms:W3CDTF">2026-08-08T09:15:46Z</dcterms:created>
  <dcterms:modified xsi:type="dcterms:W3CDTF">2026-08-08T09:55:44Z</dcterms:modified>
</cp:coreProperties>
</file>