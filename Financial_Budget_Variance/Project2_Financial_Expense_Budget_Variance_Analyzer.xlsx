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yoti\Desktop\"/>
    </mc:Choice>
  </mc:AlternateContent>
  <xr:revisionPtr revIDLastSave="0" documentId="13_ncr:1_{18D91643-F44D-4E5C-9E57-08F48F9C3184}" xr6:coauthVersionLast="47" xr6:coauthVersionMax="47" xr10:uidLastSave="{00000000-0000-0000-0000-000000000000}"/>
  <bookViews>
    <workbookView xWindow="-110" yWindow="-110" windowWidth="19420" windowHeight="11020" activeTab="1" xr2:uid="{A790C74D-6278-4D56-A343-1BA46895AAC3}"/>
  </bookViews>
  <sheets>
    <sheet name="Department_Expenses" sheetId="1" r:id="rId1"/>
    <sheet name="Budget_Master" sheetId="2" r:id="rId2"/>
    <sheet name="Variance_Dashboard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3" l="1"/>
  <c r="G5" i="3"/>
  <c r="G6" i="3"/>
  <c r="G7" i="3"/>
  <c r="G3" i="3"/>
  <c r="F4" i="3"/>
  <c r="F5" i="3"/>
  <c r="F6" i="3"/>
  <c r="F7" i="3"/>
  <c r="F3" i="3"/>
  <c r="E4" i="3"/>
  <c r="E5" i="3"/>
  <c r="E6" i="3"/>
  <c r="E7" i="3"/>
  <c r="E3" i="3"/>
  <c r="D4" i="3"/>
  <c r="D5" i="3"/>
  <c r="D6" i="3"/>
  <c r="D7" i="3"/>
  <c r="D3" i="3"/>
  <c r="C4" i="3"/>
  <c r="C5" i="3"/>
  <c r="C6" i="3"/>
  <c r="C7" i="3"/>
  <c r="C3" i="3"/>
  <c r="B4" i="3"/>
  <c r="B5" i="3"/>
  <c r="B6" i="3"/>
  <c r="B7" i="3"/>
  <c r="B3" i="3"/>
</calcChain>
</file>

<file path=xl/sharedStrings.xml><?xml version="1.0" encoding="utf-8"?>
<sst xmlns="http://schemas.openxmlformats.org/spreadsheetml/2006/main" count="65" uniqueCount="39">
  <si>
    <t>Expense_ID</t>
  </si>
  <si>
    <t>Department</t>
  </si>
  <si>
    <t>Expense_Category</t>
  </si>
  <si>
    <t>Amount_Spent_INR</t>
  </si>
  <si>
    <t>Month</t>
  </si>
  <si>
    <t>EXP1001</t>
  </si>
  <si>
    <t>Marketing</t>
  </si>
  <si>
    <t>Digital Ads</t>
  </si>
  <si>
    <t>Jan</t>
  </si>
  <si>
    <t>EXP1002</t>
  </si>
  <si>
    <t>IT</t>
  </si>
  <si>
    <t>Software Licenses</t>
  </si>
  <si>
    <t>EXP1003</t>
  </si>
  <si>
    <t>Operations</t>
  </si>
  <si>
    <t>Office Supplies</t>
  </si>
  <si>
    <t>EXP1004</t>
  </si>
  <si>
    <t>HR</t>
  </si>
  <si>
    <t>Recruitment Agency</t>
  </si>
  <si>
    <t>EXP1005</t>
  </si>
  <si>
    <t>Sales</t>
  </si>
  <si>
    <t>Client Travel</t>
  </si>
  <si>
    <t>EXP1006</t>
  </si>
  <si>
    <t>Influencer Campaign</t>
  </si>
  <si>
    <t>EXP1007</t>
  </si>
  <si>
    <t>Hardware Maintenance</t>
  </si>
  <si>
    <t>EXP1008</t>
  </si>
  <si>
    <t>Logistics &amp; Freight</t>
  </si>
  <si>
    <t>EXP1009</t>
  </si>
  <si>
    <t>Employee Training</t>
  </si>
  <si>
    <t>EXP1010</t>
  </si>
  <si>
    <t>Trade Show Events</t>
  </si>
  <si>
    <t>Allocated_Budget_INR</t>
  </si>
  <si>
    <t>Variance_Dashboard</t>
  </si>
  <si>
    <t>Expense_Categories_List</t>
  </si>
  <si>
    <t>Allocated_Budget</t>
  </si>
  <si>
    <t>Actual_Expenses</t>
  </si>
  <si>
    <t>Variance_Amount</t>
  </si>
  <si>
    <t>Variance_Percentage</t>
  </si>
  <si>
    <t>Budget_Status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</si>
</sst>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Bahnschrift Condensed"/>
      <family val="2"/>
    </font>
    <font>
      <sz val="11"/>
      <color theme="1"/>
      <name val="Bahnschrift Condensed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4"/>
      <color theme="1"/>
      <name val="Bahnschrift Condensed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3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2" xfId="0" applyBorder="1"/>
    <xf numFmtId="9" fontId="0" fillId="0" borderId="2" xfId="1" applyFont="1" applyBorder="1"/>
  </cellXfs>
  <cellStyles count="2">
    <cellStyle name="Normal" xfId="0" builtinId="0"/>
    <cellStyle name="Percent" xfId="1" builtinId="5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7B0D8-CD60-48BB-9392-EE53DA694227}">
  <dimension ref="A1:E11"/>
  <sheetViews>
    <sheetView zoomScaleNormal="100" workbookViewId="0">
      <selection activeCell="G7" sqref="G7"/>
    </sheetView>
  </sheetViews>
  <sheetFormatPr defaultRowHeight="14" x14ac:dyDescent="0.3"/>
  <cols>
    <col min="1" max="1" width="14.09765625" customWidth="1"/>
    <col min="2" max="2" width="17.296875" customWidth="1"/>
    <col min="3" max="3" width="23" customWidth="1"/>
    <col min="4" max="4" width="23.19921875" customWidth="1"/>
    <col min="5" max="5" width="9" customWidth="1"/>
  </cols>
  <sheetData>
    <row r="1" spans="1:5" ht="2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3" t="s">
        <v>5</v>
      </c>
      <c r="B2" s="3" t="s">
        <v>6</v>
      </c>
      <c r="C2" s="3" t="s">
        <v>7</v>
      </c>
      <c r="D2" s="3">
        <v>120000</v>
      </c>
      <c r="E2" s="3" t="s">
        <v>8</v>
      </c>
    </row>
    <row r="3" spans="1:5" x14ac:dyDescent="0.3">
      <c r="A3" s="3" t="s">
        <v>9</v>
      </c>
      <c r="B3" s="3" t="s">
        <v>10</v>
      </c>
      <c r="C3" s="3" t="s">
        <v>11</v>
      </c>
      <c r="D3" s="3">
        <v>85000</v>
      </c>
      <c r="E3" s="3" t="s">
        <v>8</v>
      </c>
    </row>
    <row r="4" spans="1:5" x14ac:dyDescent="0.3">
      <c r="A4" s="3" t="s">
        <v>12</v>
      </c>
      <c r="B4" s="3" t="s">
        <v>13</v>
      </c>
      <c r="C4" s="3" t="s">
        <v>14</v>
      </c>
      <c r="D4" s="3">
        <v>30000</v>
      </c>
      <c r="E4" s="3" t="s">
        <v>8</v>
      </c>
    </row>
    <row r="5" spans="1:5" x14ac:dyDescent="0.3">
      <c r="A5" s="3" t="s">
        <v>15</v>
      </c>
      <c r="B5" s="3" t="s">
        <v>16</v>
      </c>
      <c r="C5" s="3" t="s">
        <v>17</v>
      </c>
      <c r="D5" s="3">
        <v>45000</v>
      </c>
      <c r="E5" s="3" t="s">
        <v>8</v>
      </c>
    </row>
    <row r="6" spans="1:5" x14ac:dyDescent="0.3">
      <c r="A6" s="3" t="s">
        <v>18</v>
      </c>
      <c r="B6" s="3" t="s">
        <v>19</v>
      </c>
      <c r="C6" s="3" t="s">
        <v>20</v>
      </c>
      <c r="D6" s="3">
        <v>60000</v>
      </c>
      <c r="E6" s="3" t="s">
        <v>8</v>
      </c>
    </row>
    <row r="7" spans="1:5" x14ac:dyDescent="0.3">
      <c r="A7" s="3" t="s">
        <v>21</v>
      </c>
      <c r="B7" s="3" t="s">
        <v>6</v>
      </c>
      <c r="C7" s="3" t="s">
        <v>22</v>
      </c>
      <c r="D7" s="3">
        <v>95000</v>
      </c>
      <c r="E7" s="3" t="s">
        <v>8</v>
      </c>
    </row>
    <row r="8" spans="1:5" ht="28" x14ac:dyDescent="0.3">
      <c r="A8" s="3" t="s">
        <v>23</v>
      </c>
      <c r="B8" s="3" t="s">
        <v>10</v>
      </c>
      <c r="C8" s="3" t="s">
        <v>24</v>
      </c>
      <c r="D8" s="3">
        <v>40000</v>
      </c>
      <c r="E8" s="3" t="s">
        <v>8</v>
      </c>
    </row>
    <row r="9" spans="1:5" x14ac:dyDescent="0.3">
      <c r="A9" s="3" t="s">
        <v>25</v>
      </c>
      <c r="B9" s="3" t="s">
        <v>13</v>
      </c>
      <c r="C9" s="3" t="s">
        <v>26</v>
      </c>
      <c r="D9" s="3">
        <v>75000</v>
      </c>
      <c r="E9" s="3" t="s">
        <v>8</v>
      </c>
    </row>
    <row r="10" spans="1:5" x14ac:dyDescent="0.3">
      <c r="A10" s="3" t="s">
        <v>27</v>
      </c>
      <c r="B10" s="3" t="s">
        <v>16</v>
      </c>
      <c r="C10" s="3" t="s">
        <v>28</v>
      </c>
      <c r="D10" s="3">
        <v>25000</v>
      </c>
      <c r="E10" s="3" t="s">
        <v>8</v>
      </c>
    </row>
    <row r="11" spans="1:5" x14ac:dyDescent="0.3">
      <c r="A11" s="3" t="s">
        <v>29</v>
      </c>
      <c r="B11" s="3" t="s">
        <v>19</v>
      </c>
      <c r="C11" s="3" t="s">
        <v>30</v>
      </c>
      <c r="D11" s="3">
        <v>110000</v>
      </c>
      <c r="E11" s="3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EB5EC-804A-4D6D-97CA-1F341EAF0366}">
  <dimension ref="A1:B6"/>
  <sheetViews>
    <sheetView tabSelected="1" zoomScaleNormal="100" workbookViewId="0"/>
  </sheetViews>
  <sheetFormatPr defaultRowHeight="14" x14ac:dyDescent="0.3"/>
  <cols>
    <col min="1" max="1" width="13.796875" customWidth="1"/>
    <col min="2" max="2" width="25.3984375" customWidth="1"/>
  </cols>
  <sheetData>
    <row r="1" spans="1:2" ht="28.5" thickBot="1" x14ac:dyDescent="0.35">
      <c r="A1" s="2" t="s">
        <v>1</v>
      </c>
      <c r="B1" s="4" t="s">
        <v>31</v>
      </c>
    </row>
    <row r="2" spans="1:2" ht="14.5" thickBot="1" x14ac:dyDescent="0.35">
      <c r="A2" s="5" t="s">
        <v>6</v>
      </c>
      <c r="B2" s="1">
        <v>200000</v>
      </c>
    </row>
    <row r="3" spans="1:2" ht="14.5" thickBot="1" x14ac:dyDescent="0.35">
      <c r="A3" s="1" t="s">
        <v>10</v>
      </c>
      <c r="B3" s="1">
        <v>110000</v>
      </c>
    </row>
    <row r="4" spans="1:2" ht="28.5" thickBot="1" x14ac:dyDescent="0.35">
      <c r="A4" s="1" t="s">
        <v>13</v>
      </c>
      <c r="B4" s="1">
        <v>90000</v>
      </c>
    </row>
    <row r="5" spans="1:2" ht="14.5" thickBot="1" x14ac:dyDescent="0.35">
      <c r="A5" s="1" t="s">
        <v>16</v>
      </c>
      <c r="B5" s="1">
        <v>80000</v>
      </c>
    </row>
    <row r="6" spans="1:2" ht="14.5" thickBot="1" x14ac:dyDescent="0.35">
      <c r="A6" s="1" t="s">
        <v>19</v>
      </c>
      <c r="B6" s="1">
        <v>150000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D5C04-E3CD-440B-90CE-DB6FE48F1421}">
  <dimension ref="A1:G7"/>
  <sheetViews>
    <sheetView zoomScaleNormal="100" workbookViewId="0">
      <selection activeCell="B13" sqref="B13"/>
    </sheetView>
  </sheetViews>
  <sheetFormatPr defaultRowHeight="14" x14ac:dyDescent="0.3"/>
  <cols>
    <col min="2" max="2" width="26.8984375" customWidth="1"/>
    <col min="3" max="3" width="17.19921875" customWidth="1"/>
    <col min="4" max="4" width="13.5" customWidth="1"/>
    <col min="5" max="5" width="13.59765625" customWidth="1"/>
    <col min="6" max="6" width="16" customWidth="1"/>
    <col min="7" max="7" width="11.09765625" customWidth="1"/>
  </cols>
  <sheetData>
    <row r="1" spans="1:7" ht="17.5" x14ac:dyDescent="0.35">
      <c r="A1" s="7" t="s">
        <v>32</v>
      </c>
      <c r="B1" s="6"/>
      <c r="C1" s="6"/>
      <c r="D1" s="6"/>
    </row>
    <row r="2" spans="1:7" x14ac:dyDescent="0.3">
      <c r="A2" s="8" t="s">
        <v>1</v>
      </c>
      <c r="B2" s="8" t="s">
        <v>33</v>
      </c>
      <c r="C2" s="8" t="s">
        <v>34</v>
      </c>
      <c r="D2" s="8" t="s">
        <v>35</v>
      </c>
      <c r="E2" s="8" t="s">
        <v>36</v>
      </c>
      <c r="F2" s="8" t="s">
        <v>37</v>
      </c>
      <c r="G2" s="8" t="s">
        <v>38</v>
      </c>
    </row>
    <row r="3" spans="1:7" x14ac:dyDescent="0.3">
      <c r="A3" s="8" t="s">
        <v>6</v>
      </c>
      <c r="B3" s="8" t="str">
        <f>_xlfn.TEXTJOIN(", ", TRUE, Department_Expenses!C2:C3)</f>
        <v>Digital Ads, Software Licenses</v>
      </c>
      <c r="C3" s="8">
        <f>VLOOKUP(A3, Budget_Master!A:B, 2, FALSE)</f>
        <v>200000</v>
      </c>
      <c r="D3" s="8">
        <f>SUMIFS(Department_Expenses!D:D, Department_Expenses!B:B, A3)</f>
        <v>215000</v>
      </c>
      <c r="E3" s="8">
        <f>C3 - D3</f>
        <v>-15000</v>
      </c>
      <c r="F3" s="9">
        <f>E3 / C3</f>
        <v>-7.4999999999999997E-2</v>
      </c>
      <c r="G3" s="8" t="str">
        <f>IF(D3 &gt; C3, "OVER BUDGET", "Within Budget")</f>
        <v>OVER BUDGET</v>
      </c>
    </row>
    <row r="4" spans="1:7" x14ac:dyDescent="0.3">
      <c r="A4" s="8" t="s">
        <v>10</v>
      </c>
      <c r="B4" s="8" t="str">
        <f>_xlfn.TEXTJOIN(", ", TRUE, Department_Expenses!C3:C4)</f>
        <v>Software Licenses, Office Supplies</v>
      </c>
      <c r="C4" s="8">
        <f>VLOOKUP(A4, Budget_Master!A:B, 2, FALSE)</f>
        <v>110000</v>
      </c>
      <c r="D4" s="8">
        <f>SUMIFS(Department_Expenses!D:D, Department_Expenses!B:B, A4)</f>
        <v>125000</v>
      </c>
      <c r="E4" s="8">
        <f t="shared" ref="E4:E7" si="0">C4 - D4</f>
        <v>-15000</v>
      </c>
      <c r="F4" s="9">
        <f t="shared" ref="F4:F7" si="1">E4 / C4</f>
        <v>-0.13636363636363635</v>
      </c>
      <c r="G4" s="8" t="str">
        <f t="shared" ref="G4:G7" si="2">IF(D4 &gt; C4, "OVER BUDGET", "Within Budget")</f>
        <v>OVER BUDGET</v>
      </c>
    </row>
    <row r="5" spans="1:7" x14ac:dyDescent="0.3">
      <c r="A5" s="8" t="s">
        <v>13</v>
      </c>
      <c r="B5" s="8" t="str">
        <f>_xlfn.TEXTJOIN(", ", TRUE, Department_Expenses!C4:C5)</f>
        <v>Office Supplies, Recruitment Agency</v>
      </c>
      <c r="C5" s="8">
        <f>VLOOKUP(A5, Budget_Master!A:B, 2, FALSE)</f>
        <v>90000</v>
      </c>
      <c r="D5" s="8">
        <f>SUMIFS(Department_Expenses!D:D, Department_Expenses!B:B, A5)</f>
        <v>105000</v>
      </c>
      <c r="E5" s="8">
        <f t="shared" si="0"/>
        <v>-15000</v>
      </c>
      <c r="F5" s="9">
        <f t="shared" si="1"/>
        <v>-0.16666666666666666</v>
      </c>
      <c r="G5" s="8" t="str">
        <f t="shared" si="2"/>
        <v>OVER BUDGET</v>
      </c>
    </row>
    <row r="6" spans="1:7" x14ac:dyDescent="0.3">
      <c r="A6" s="8" t="s">
        <v>16</v>
      </c>
      <c r="B6" s="8" t="str">
        <f>_xlfn.TEXTJOIN(", ", TRUE, Department_Expenses!C5:C6)</f>
        <v>Recruitment Agency, Client Travel</v>
      </c>
      <c r="C6" s="8">
        <f>VLOOKUP(A6, Budget_Master!A:B, 2, FALSE)</f>
        <v>80000</v>
      </c>
      <c r="D6" s="8">
        <f>SUMIFS(Department_Expenses!D:D, Department_Expenses!B:B, A6)</f>
        <v>70000</v>
      </c>
      <c r="E6" s="8">
        <f t="shared" si="0"/>
        <v>10000</v>
      </c>
      <c r="F6" s="9">
        <f t="shared" si="1"/>
        <v>0.125</v>
      </c>
      <c r="G6" s="8" t="str">
        <f t="shared" si="2"/>
        <v>Within Budget</v>
      </c>
    </row>
    <row r="7" spans="1:7" x14ac:dyDescent="0.3">
      <c r="A7" s="8" t="s">
        <v>19</v>
      </c>
      <c r="B7" s="8" t="str">
        <f>_xlfn.TEXTJOIN(", ", TRUE, Department_Expenses!C6:C7)</f>
        <v>Client Travel, Influencer Campaign</v>
      </c>
      <c r="C7" s="8">
        <f>VLOOKUP(A7, Budget_Master!A:B, 2, FALSE)</f>
        <v>150000</v>
      </c>
      <c r="D7" s="8">
        <f>SUMIFS(Department_Expenses!D:D, Department_Expenses!B:B, A7)</f>
        <v>170000</v>
      </c>
      <c r="E7" s="8">
        <f t="shared" si="0"/>
        <v>-20000</v>
      </c>
      <c r="F7" s="9">
        <f t="shared" si="1"/>
        <v>-0.13333333333333333</v>
      </c>
      <c r="G7" s="8" t="str">
        <f t="shared" si="2"/>
        <v>OVER BUDGET</v>
      </c>
    </row>
  </sheetData>
  <mergeCells count="1">
    <mergeCell ref="A1:D1"/>
  </mergeCells>
  <conditionalFormatting sqref="G3:G7">
    <cfRule type="containsText" priority="2" operator="containsText" text="OVER BUDGET">
      <formula>NOT(ISERROR(SEARCH("OVER BUDGET",G3)))</formula>
    </cfRule>
    <cfRule type="containsText" dxfId="0" priority="1" operator="containsText" text="OVER BUDGET">
      <formula>NOT(ISERROR(SEARCH("OVER BUDGET",G3)))</formula>
    </cfRule>
  </conditionalFormatting>
  <pageMargins left="0.7" right="0.7" top="0.75" bottom="0.75" header="0.3" footer="0.3"/>
  <pageSetup orientation="portrait" r:id="rId1"/>
  <ignoredErrors>
    <ignoredError sqref="C3:C7 D3:D7" emptyCellReferenc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Department_Expenses</vt:lpstr>
      <vt:lpstr>Budget_Master</vt:lpstr>
      <vt:lpstr>Variance_Dashboard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 panjeta</dc:creator>
  <cp:lastModifiedBy>jyoti panjeta</cp:lastModifiedBy>
  <dcterms:created xsi:type="dcterms:W3CDTF">2026-08-08T10:32:48Z</dcterms:created>
  <dcterms:modified xsi:type="dcterms:W3CDTF">2026-08-08T10:53:56Z</dcterms:modified>
</cp:coreProperties>
</file>