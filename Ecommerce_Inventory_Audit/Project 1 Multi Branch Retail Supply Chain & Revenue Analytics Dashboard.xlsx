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Jyoti\Desktop\"/>
    </mc:Choice>
  </mc:AlternateContent>
  <xr:revisionPtr revIDLastSave="0" documentId="13_ncr:1_{B68EC62B-E5C6-45F0-9A6A-F85392FD7D4E}" xr6:coauthVersionLast="47" xr6:coauthVersionMax="47" xr10:uidLastSave="{00000000-0000-0000-0000-000000000000}"/>
  <bookViews>
    <workbookView xWindow="-110" yWindow="-110" windowWidth="19420" windowHeight="11020" xr2:uid="{CA08EC75-89A0-4F80-B693-121927205BA0}"/>
  </bookViews>
  <sheets>
    <sheet name="Dashboard" sheetId="1" r:id="rId1"/>
    <sheet name="Raw_Data" sheetId="3" r:id="rId2"/>
  </sheets>
  <definedNames>
    <definedName name="_xlcn.WorksheetConnection_Raw_DataA1I161" hidden="1">Raw_Data!$A$1:$I$16</definedName>
    <definedName name="Slicer_Product_Category">#N/A</definedName>
    <definedName name="Slicer_Region">#N/A</definedName>
  </definedNames>
  <calcPr calcId="191029"/>
  <pivotCaches>
    <pivotCache cacheId="36" r:id="rId3"/>
  </pivotCaches>
  <extLst>
    <ext xmlns:x14="http://schemas.microsoft.com/office/spreadsheetml/2009/9/main" uri="{876F7934-8845-4945-9796-88D515C7AA90}">
      <x14:pivotCaches>
        <pivotCache cacheId="33"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aw_Data!$A$1:$I$16"/>
        </x15:modelTables>
        <x15:extLst>
          <ext xmlns:x16="http://schemas.microsoft.com/office/spreadsheetml/2014/11/main" uri="{9835A34E-60A6-4A7C-AAB8-D5F71C897F49}">
            <x16:modelTimeGroupings>
              <x16:modelTimeGrouping tableName="Range"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H5" i="1" l="1"/>
  <c r="F5" i="1"/>
  <c r="D5" i="1"/>
  <c r="B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50E8FC-21D7-4A6D-9BF9-B0556AC43C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D399546-0D38-4F60-B8F3-441962D3CD42}" name="WorksheetConnection_Raw_Data!$A$1:$I$16" type="102" refreshedVersion="8" minRefreshableVersion="5">
    <extLst>
      <ext xmlns:x15="http://schemas.microsoft.com/office/spreadsheetml/2010/11/main" uri="{DE250136-89BD-433C-8126-D09CA5730AF9}">
        <x15:connection id="Range" autoDelete="1">
          <x15:rangePr sourceName="_xlcn.WorksheetConnection_Raw_DataA1I161"/>
        </x15:connection>
      </ext>
    </extLst>
  </connection>
</connections>
</file>

<file path=xl/sharedStrings.xml><?xml version="1.0" encoding="utf-8"?>
<sst xmlns="http://schemas.openxmlformats.org/spreadsheetml/2006/main" count="81" uniqueCount="41">
  <si>
    <t>MULTI-BRANCH RETAIL SUPPLY CHAIN &amp; REVENUE DASHBOARD</t>
  </si>
  <si>
    <t>TOTAL REVENUE</t>
  </si>
  <si>
    <t>Order_ID</t>
  </si>
  <si>
    <t>Order_Date</t>
  </si>
  <si>
    <t>Region</t>
  </si>
  <si>
    <t>Product_Category</t>
  </si>
  <si>
    <t>Units_Sold</t>
  </si>
  <si>
    <t>Unit_Price</t>
  </si>
  <si>
    <t>Total_Revenue</t>
  </si>
  <si>
    <t>Shipping_Cost</t>
  </si>
  <si>
    <t>Net_Profit</t>
  </si>
  <si>
    <t>ORD1001</t>
  </si>
  <si>
    <t>North</t>
  </si>
  <si>
    <t>Electronics</t>
  </si>
  <si>
    <t>ORD1002</t>
  </si>
  <si>
    <t>ORD1003</t>
  </si>
  <si>
    <t>ORD1004</t>
  </si>
  <si>
    <t>ORD1005</t>
  </si>
  <si>
    <t>ORD1007</t>
  </si>
  <si>
    <t>ORD1008</t>
  </si>
  <si>
    <t>ORD1009</t>
  </si>
  <si>
    <t>ORD1010</t>
  </si>
  <si>
    <t>ORD1011</t>
  </si>
  <si>
    <t>ORD1012</t>
  </si>
  <si>
    <t>ORD1013</t>
  </si>
  <si>
    <t>ORD1014</t>
  </si>
  <si>
    <t>ORD1015</t>
  </si>
  <si>
    <t>South</t>
  </si>
  <si>
    <t>Apparel</t>
  </si>
  <si>
    <t>East</t>
  </si>
  <si>
    <t>Furniture</t>
  </si>
  <si>
    <t>West</t>
  </si>
  <si>
    <t>TOTAL UNIT SOLD</t>
  </si>
  <si>
    <t>NET PROFIT</t>
  </si>
  <si>
    <t>AVG ORDER VALUE</t>
  </si>
  <si>
    <t>Row Labels</t>
  </si>
  <si>
    <t>Grand Total</t>
  </si>
  <si>
    <t>Column Labels</t>
  </si>
  <si>
    <t>Jan</t>
  </si>
  <si>
    <t>Feb</t>
  </si>
  <si>
    <t>Sum of Total_Revenue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</si>
</sst>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Bahnschrift Condensed"/>
      <family val="2"/>
    </font>
    <font>
      <sz val="20"/>
      <color theme="1"/>
      <name val="Bahnschrift Condensed"/>
      <family val="2"/>
    </font>
    <font>
      <sz val="8"/>
      <name val="Bahnschrift Condensed"/>
      <family val="2"/>
    </font>
  </fonts>
  <fills count="3">
    <fill>
      <patternFill patternType="none"/>
    </fill>
    <fill>
      <patternFill patternType="gray125"/>
    </fill>
    <fill>
      <patternFill patternType="solid">
        <fgColor theme="4" tint="0.39997558519241921"/>
        <bgColor indexed="64"/>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4">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2" xfId="0" applyBorder="1" applyAlignment="1">
      <alignment horizontal="center"/>
    </xf>
    <xf numFmtId="1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Multi Branch Retail Supply Chain &amp; Revenue Analytics Dashboard.xlsx]Dashboard!PivotTable1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Dashboard!$C$8:$C$9</c:f>
              <c:strCache>
                <c:ptCount val="1"/>
                <c:pt idx="0">
                  <c:v>Jan</c:v>
                </c:pt>
              </c:strCache>
            </c:strRef>
          </c:tx>
          <c:spPr>
            <a:solidFill>
              <a:schemeClr val="accent1"/>
            </a:solidFill>
            <a:ln>
              <a:noFill/>
            </a:ln>
            <a:effectLst/>
          </c:spPr>
          <c:invertIfNegative val="0"/>
          <c:cat>
            <c:multiLvlStrRef>
              <c:f>Dashboard!$B$10:$B$25</c:f>
              <c:multiLvlStrCache>
                <c:ptCount val="11"/>
                <c:lvl>
                  <c:pt idx="0">
                    <c:v>Apparel</c:v>
                  </c:pt>
                  <c:pt idx="1">
                    <c:v>Electronics</c:v>
                  </c:pt>
                  <c:pt idx="2">
                    <c:v>Furniture</c:v>
                  </c:pt>
                  <c:pt idx="3">
                    <c:v>Apparel</c:v>
                  </c:pt>
                  <c:pt idx="4">
                    <c:v>Electronics</c:v>
                  </c:pt>
                  <c:pt idx="5">
                    <c:v>Furniture</c:v>
                  </c:pt>
                  <c:pt idx="6">
                    <c:v>Apparel</c:v>
                  </c:pt>
                  <c:pt idx="7">
                    <c:v>Electronics</c:v>
                  </c:pt>
                  <c:pt idx="8">
                    <c:v>Apparel</c:v>
                  </c:pt>
                  <c:pt idx="9">
                    <c:v>Electronics</c:v>
                  </c:pt>
                  <c:pt idx="10">
                    <c:v>Furniture</c:v>
                  </c:pt>
                </c:lvl>
                <c:lvl>
                  <c:pt idx="0">
                    <c:v>East</c:v>
                  </c:pt>
                  <c:pt idx="3">
                    <c:v>North</c:v>
                  </c:pt>
                  <c:pt idx="6">
                    <c:v>South</c:v>
                  </c:pt>
                  <c:pt idx="8">
                    <c:v>West</c:v>
                  </c:pt>
                </c:lvl>
              </c:multiLvlStrCache>
            </c:multiLvlStrRef>
          </c:cat>
          <c:val>
            <c:numRef>
              <c:f>Dashboard!$C$10:$C$25</c:f>
              <c:numCache>
                <c:formatCode>General</c:formatCode>
                <c:ptCount val="11"/>
                <c:pt idx="1">
                  <c:v>270000</c:v>
                </c:pt>
                <c:pt idx="2">
                  <c:v>40000</c:v>
                </c:pt>
                <c:pt idx="3">
                  <c:v>48000</c:v>
                </c:pt>
                <c:pt idx="4">
                  <c:v>150000</c:v>
                </c:pt>
                <c:pt idx="5">
                  <c:v>84000</c:v>
                </c:pt>
                <c:pt idx="6">
                  <c:v>30000</c:v>
                </c:pt>
                <c:pt idx="7">
                  <c:v>280000</c:v>
                </c:pt>
                <c:pt idx="8">
                  <c:v>38000</c:v>
                </c:pt>
                <c:pt idx="9">
                  <c:v>176000</c:v>
                </c:pt>
              </c:numCache>
            </c:numRef>
          </c:val>
          <c:extLst>
            <c:ext xmlns:c16="http://schemas.microsoft.com/office/drawing/2014/chart" uri="{C3380CC4-5D6E-409C-BE32-E72D297353CC}">
              <c16:uniqueId val="{00000000-C55C-49F3-BD61-9C48374EBF37}"/>
            </c:ext>
          </c:extLst>
        </c:ser>
        <c:ser>
          <c:idx val="1"/>
          <c:order val="1"/>
          <c:tx>
            <c:strRef>
              <c:f>Dashboard!$D$8:$D$9</c:f>
              <c:strCache>
                <c:ptCount val="1"/>
                <c:pt idx="0">
                  <c:v>Feb</c:v>
                </c:pt>
              </c:strCache>
            </c:strRef>
          </c:tx>
          <c:spPr>
            <a:solidFill>
              <a:schemeClr val="accent2"/>
            </a:solidFill>
            <a:ln>
              <a:noFill/>
            </a:ln>
            <a:effectLst/>
          </c:spPr>
          <c:invertIfNegative val="0"/>
          <c:cat>
            <c:multiLvlStrRef>
              <c:f>Dashboard!$B$10:$B$25</c:f>
              <c:multiLvlStrCache>
                <c:ptCount val="11"/>
                <c:lvl>
                  <c:pt idx="0">
                    <c:v>Apparel</c:v>
                  </c:pt>
                  <c:pt idx="1">
                    <c:v>Electronics</c:v>
                  </c:pt>
                  <c:pt idx="2">
                    <c:v>Furniture</c:v>
                  </c:pt>
                  <c:pt idx="3">
                    <c:v>Apparel</c:v>
                  </c:pt>
                  <c:pt idx="4">
                    <c:v>Electronics</c:v>
                  </c:pt>
                  <c:pt idx="5">
                    <c:v>Furniture</c:v>
                  </c:pt>
                  <c:pt idx="6">
                    <c:v>Apparel</c:v>
                  </c:pt>
                  <c:pt idx="7">
                    <c:v>Electronics</c:v>
                  </c:pt>
                  <c:pt idx="8">
                    <c:v>Apparel</c:v>
                  </c:pt>
                  <c:pt idx="9">
                    <c:v>Electronics</c:v>
                  </c:pt>
                  <c:pt idx="10">
                    <c:v>Furniture</c:v>
                  </c:pt>
                </c:lvl>
                <c:lvl>
                  <c:pt idx="0">
                    <c:v>East</c:v>
                  </c:pt>
                  <c:pt idx="3">
                    <c:v>North</c:v>
                  </c:pt>
                  <c:pt idx="6">
                    <c:v>South</c:v>
                  </c:pt>
                  <c:pt idx="8">
                    <c:v>West</c:v>
                  </c:pt>
                </c:lvl>
              </c:multiLvlStrCache>
            </c:multiLvlStrRef>
          </c:cat>
          <c:val>
            <c:numRef>
              <c:f>Dashboard!$D$10:$D$25</c:f>
              <c:numCache>
                <c:formatCode>General</c:formatCode>
                <c:ptCount val="11"/>
                <c:pt idx="0">
                  <c:v>19800</c:v>
                </c:pt>
                <c:pt idx="2">
                  <c:v>81000</c:v>
                </c:pt>
                <c:pt idx="4">
                  <c:v>300000</c:v>
                </c:pt>
                <c:pt idx="6">
                  <c:v>37500</c:v>
                </c:pt>
                <c:pt idx="10">
                  <c:v>60000</c:v>
                </c:pt>
              </c:numCache>
            </c:numRef>
          </c:val>
          <c:extLst>
            <c:ext xmlns:c16="http://schemas.microsoft.com/office/drawing/2014/chart" uri="{C3380CC4-5D6E-409C-BE32-E72D297353CC}">
              <c16:uniqueId val="{00000001-C55C-49F3-BD61-9C48374EBF37}"/>
            </c:ext>
          </c:extLst>
        </c:ser>
        <c:dLbls>
          <c:showLegendKey val="0"/>
          <c:showVal val="0"/>
          <c:showCatName val="0"/>
          <c:showSerName val="0"/>
          <c:showPercent val="0"/>
          <c:showBubbleSize val="0"/>
        </c:dLbls>
        <c:gapWidth val="219"/>
        <c:overlap val="-27"/>
        <c:axId val="2044039599"/>
        <c:axId val="1947809135"/>
      </c:barChart>
      <c:catAx>
        <c:axId val="204403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09135"/>
        <c:crosses val="autoZero"/>
        <c:auto val="1"/>
        <c:lblAlgn val="ctr"/>
        <c:lblOffset val="100"/>
        <c:noMultiLvlLbl val="0"/>
      </c:catAx>
      <c:valAx>
        <c:axId val="19478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03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3175</xdr:colOff>
      <xdr:row>6</xdr:row>
      <xdr:rowOff>165100</xdr:rowOff>
    </xdr:from>
    <xdr:to>
      <xdr:col>13</xdr:col>
      <xdr:colOff>441325</xdr:colOff>
      <xdr:row>22</xdr:row>
      <xdr:rowOff>63500</xdr:rowOff>
    </xdr:to>
    <xdr:graphicFrame macro="">
      <xdr:nvGraphicFramePr>
        <xdr:cNvPr id="2" name="Chart 1">
          <a:extLst>
            <a:ext uri="{FF2B5EF4-FFF2-40B4-BE49-F238E27FC236}">
              <a16:creationId xmlns:a16="http://schemas.microsoft.com/office/drawing/2014/main" id="{05194DFB-F158-B629-DEFF-010D243AF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7</xdr:row>
      <xdr:rowOff>38100</xdr:rowOff>
    </xdr:from>
    <xdr:to>
      <xdr:col>20</xdr:col>
      <xdr:colOff>152400</xdr:colOff>
      <xdr:row>21</xdr:row>
      <xdr:rowOff>168272</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F878F52-F1A6-9914-50FA-0B38CB3AD8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54926" y="1298762"/>
              <a:ext cx="1833283" cy="2614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482600</xdr:colOff>
      <xdr:row>7</xdr:row>
      <xdr:rowOff>31750</xdr:rowOff>
    </xdr:from>
    <xdr:to>
      <xdr:col>16</xdr:col>
      <xdr:colOff>514350</xdr:colOff>
      <xdr:row>21</xdr:row>
      <xdr:rowOff>161922</xdr:rowOff>
    </xdr:to>
    <mc:AlternateContent xmlns:mc="http://schemas.openxmlformats.org/markup-compatibility/2006">
      <mc:Choice xmlns:a14="http://schemas.microsoft.com/office/drawing/2010/main" Requires="a14">
        <xdr:graphicFrame macro="">
          <xdr:nvGraphicFramePr>
            <xdr:cNvPr id="4" name="Product_Category">
              <a:extLst>
                <a:ext uri="{FF2B5EF4-FFF2-40B4-BE49-F238E27FC236}">
                  <a16:creationId xmlns:a16="http://schemas.microsoft.com/office/drawing/2014/main" id="{CD125A08-DCA0-AA3F-D6F9-63F4E5993EA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8756276" y="1292412"/>
              <a:ext cx="1824692" cy="2614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242.608913425924" backgroundQuery="1" createdVersion="8" refreshedVersion="8" minRefreshableVersion="3" recordCount="0" supportSubquery="1" supportAdvancedDrill="1" xr:uid="{D012D402-556E-4266-98A0-2E0B63918814}">
  <cacheSource type="external" connectionId="1"/>
  <cacheFields count="4">
    <cacheField name="[Range].[Order_Date (Month)].[Order_Date (Month)]" caption="Order_Date (Month)" numFmtId="0" hierarchy="9" level="1">
      <sharedItems count="2">
        <s v="Jan"/>
        <s v="Feb"/>
      </sharedItems>
    </cacheField>
    <cacheField name="[Range].[Region].[Region]" caption="Region" numFmtId="0" hierarchy="2" level="1">
      <sharedItems count="4">
        <s v="East"/>
        <s v="North"/>
        <s v="South"/>
        <s v="West"/>
      </sharedItems>
    </cacheField>
    <cacheField name="[Measures].[Sum of Total_Revenue]" caption="Sum of Total_Revenue" numFmtId="0" hierarchy="13" level="32767"/>
    <cacheField name="[Range].[Product_Category].[Product_Category]" caption="Product_Category" numFmtId="0" hierarchy="3" level="1">
      <sharedItems count="3">
        <s v="Apparel"/>
        <s v="Electronics"/>
        <s v="Furniture"/>
      </sharedItems>
    </cacheField>
  </cacheFields>
  <cacheHierarchies count="14">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Product_Category]" caption="Product_Category" attribute="1" defaultMemberUniqueName="[Range].[Product_Category].[All]" allUniqueName="[Range].[Product_Category].[All]" dimensionUniqueName="[Range]" displayFolder="" count="2" memberValueDatatype="130" unbalanced="0">
      <fieldsUsage count="2">
        <fieldUsage x="-1"/>
        <fieldUsage x="3"/>
      </fieldsUsage>
    </cacheHierarchy>
    <cacheHierarchy uniqueName="[Range].[Units_Sold]" caption="Units_Sold" attribute="1" defaultMemberUniqueName="[Range].[Units_Sold].[All]" allUniqueName="[Range].[Units_Sold].[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Total_Revenue]" caption="Total_Revenue" attribute="1" defaultMemberUniqueName="[Range].[Total_Revenue].[All]" allUniqueName="[Range].[Total_Revenue].[All]" dimensionUniqueName="[Range]" displayFolder="" count="2" memberValueDatatype="20" unbalanced="0"/>
    <cacheHierarchy uniqueName="[Range].[Shipping_Cost]" caption="Shipping_Cost" attribute="1" defaultMemberUniqueName="[Range].[Shipping_Cost].[All]" allUniqueName="[Range].[Shipping_Cost].[All]" dimensionUniqueName="[Range]" displayFolder="" count="2" memberValueDatatype="20" unbalanced="0"/>
    <cacheHierarchy uniqueName="[Range].[Net_Profit]" caption="Net_Profit" attribute="1" defaultMemberUniqueName="[Range].[Net_Profit].[All]" allUniqueName="[Range].[Net_Profit].[All]" dimensionUniqueName="[Range]" displayFolder="" count="2" memberValueDatatype="20"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0"/>
      </fieldsUsage>
    </cacheHierarchy>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Revenue]" caption="Sum of Total_Revenue"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242.608906250003" backgroundQuery="1" createdVersion="3" refreshedVersion="8" minRefreshableVersion="3" recordCount="0" supportSubquery="1" supportAdvancedDrill="1" xr:uid="{E002BD6B-130B-43D8-9BB8-CA7C36D724D5}">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Units_Sold]" caption="Units_Sold" attribute="1" defaultMemberUniqueName="[Range].[Units_Sold].[All]" allUniqueName="[Range].[Units_Sold].[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Total_Revenue]" caption="Total_Revenue" attribute="1" defaultMemberUniqueName="[Range].[Total_Revenue].[All]" allUniqueName="[Range].[Total_Revenue].[All]" dimensionUniqueName="[Range]" displayFolder="" count="0" memberValueDatatype="20" unbalanced="0"/>
    <cacheHierarchy uniqueName="[Range].[Shipping_Cost]" caption="Shipping_Cost" attribute="1" defaultMemberUniqueName="[Range].[Shipping_Cost].[All]" allUniqueName="[Range].[Shipping_Cost].[All]" dimensionUniqueName="[Range]" displayFolder="" count="0" memberValueDatatype="20" unbalanced="0"/>
    <cacheHierarchy uniqueName="[Range].[Net_Profit]" caption="Net_Profit" attribute="1" defaultMemberUniqueName="[Range].[Net_Profit].[All]" allUniqueName="[Range].[Net_Profit].[All]" dimensionUniqueName="[Range]" displayFolder="" count="0" memberValueDatatype="2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Revenue]" caption="Sum of Total_Revenue"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3972711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E1DB55-394F-4315-A703-33DEB591319B}"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8:E25" firstHeaderRow="1" firstDataRow="2" firstDataCol="1"/>
  <pivotFields count="4">
    <pivotField axis="axisCol" allDrilled="1" subtotalTop="0" showAll="0" dataSourceSort="1" defaultSubtotal="0">
      <items count="2">
        <item x="0" e="0"/>
        <item x="1" e="0"/>
      </items>
    </pivotField>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1"/>
    <field x="3"/>
  </rowFields>
  <rowItems count="16">
    <i>
      <x/>
    </i>
    <i r="1">
      <x/>
    </i>
    <i r="1">
      <x v="1"/>
    </i>
    <i r="1">
      <x v="2"/>
    </i>
    <i>
      <x v="1"/>
    </i>
    <i r="1">
      <x/>
    </i>
    <i r="1">
      <x v="1"/>
    </i>
    <i r="1">
      <x v="2"/>
    </i>
    <i>
      <x v="2"/>
    </i>
    <i r="1">
      <x/>
    </i>
    <i r="1">
      <x v="1"/>
    </i>
    <i>
      <x v="3"/>
    </i>
    <i r="1">
      <x/>
    </i>
    <i r="1">
      <x v="1"/>
    </i>
    <i r="1">
      <x v="2"/>
    </i>
    <i t="grand">
      <x/>
    </i>
  </rowItems>
  <colFields count="1">
    <field x="0"/>
  </colFields>
  <colItems count="3">
    <i>
      <x/>
    </i>
    <i>
      <x v="1"/>
    </i>
    <i t="grand">
      <x/>
    </i>
  </colItems>
  <dataFields count="1">
    <dataField name="Sum of Total_Revenue" fld="2" baseField="0" baseItem="0"/>
  </dataFields>
  <chartFormats count="2">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I$1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394651-5CA1-4472-8D56-2AC49E853609}" sourceName="[Range].[Region]">
  <pivotTables>
    <pivotTable tabId="1" name="PivotTable1"/>
  </pivotTables>
  <data>
    <olap pivotCacheId="1397271126">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D484CB9-D9A4-499E-A998-512DE26FE924}" sourceName="[Range].[Product_Category]">
  <pivotTables>
    <pivotTable tabId="1" name="PivotTable1"/>
  </pivotTables>
  <data>
    <olap pivotCacheId="1397271126">
      <levels count="2">
        <level uniqueName="[Range].[Product_Category].[(All)]" sourceCaption="(All)" count="0"/>
        <level uniqueName="[Range].[Product_Category].[Product_Category]" sourceCaption="Product_Category" count="3">
          <ranges>
            <range startItem="0">
              <i n="[Range].[Product_Category].&amp;[Apparel]" c="Apparel"/>
              <i n="[Range].[Product_Category].&amp;[Electronics]" c="Electronics"/>
              <i n="[Range].[Product_Category].&amp;[Furniture]" c="Furniture"/>
            </range>
          </ranges>
        </level>
      </levels>
      <selections count="1">
        <selection n="[Range].[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0445705-84D0-42A5-8116-1FEC60F03BAA}" cache="Slicer_Region" caption="Region" level="1" rowHeight="251883"/>
  <slicer name="Product_Category" xr10:uid="{1FD64305-9748-4FB9-B424-7B718E279780}" cache="Slicer_Product_Category" caption="Product_Category"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960C-46E2-4197-9531-C8535AEB2A2E}">
  <dimension ref="A1:L25"/>
  <sheetViews>
    <sheetView showGridLines="0" tabSelected="1" zoomScale="68" zoomScaleNormal="100" workbookViewId="0">
      <selection activeCell="M25" sqref="M25"/>
    </sheetView>
  </sheetViews>
  <sheetFormatPr defaultRowHeight="14" x14ac:dyDescent="0.3"/>
  <cols>
    <col min="2" max="2" width="17.19921875" bestFit="1" customWidth="1"/>
    <col min="3" max="3" width="14" bestFit="1" customWidth="1"/>
    <col min="4" max="4" width="6.8984375" bestFit="1" customWidth="1"/>
    <col min="5" max="6" width="9.296875" bestFit="1" customWidth="1"/>
    <col min="7" max="8" width="9" bestFit="1" customWidth="1"/>
    <col min="9" max="11" width="9.296875" bestFit="1" customWidth="1"/>
    <col min="12" max="13" width="9.59765625" bestFit="1" customWidth="1"/>
    <col min="14" max="14" width="9.296875" bestFit="1" customWidth="1"/>
    <col min="15" max="15" width="9.3984375" bestFit="1" customWidth="1"/>
    <col min="16" max="16" width="9.59765625" bestFit="1" customWidth="1"/>
    <col min="17" max="17" width="9.296875" bestFit="1" customWidth="1"/>
  </cols>
  <sheetData>
    <row r="1" spans="1:12" ht="14.5" thickBot="1" x14ac:dyDescent="0.35"/>
    <row r="2" spans="1:12" x14ac:dyDescent="0.3">
      <c r="A2" s="2" t="s">
        <v>0</v>
      </c>
      <c r="B2" s="3"/>
      <c r="C2" s="3"/>
      <c r="D2" s="3"/>
      <c r="E2" s="3"/>
      <c r="F2" s="3"/>
      <c r="G2" s="3"/>
      <c r="H2" s="3"/>
      <c r="I2" s="3"/>
      <c r="J2" s="3"/>
      <c r="K2" s="3"/>
      <c r="L2" s="4"/>
    </row>
    <row r="3" spans="1:12" ht="14.5" thickBot="1" x14ac:dyDescent="0.35">
      <c r="A3" s="5"/>
      <c r="B3" s="6"/>
      <c r="C3" s="6"/>
      <c r="D3" s="6"/>
      <c r="E3" s="6"/>
      <c r="F3" s="6"/>
      <c r="G3" s="6"/>
      <c r="H3" s="6"/>
      <c r="I3" s="6"/>
      <c r="J3" s="6"/>
      <c r="K3" s="6"/>
      <c r="L3" s="7"/>
    </row>
    <row r="4" spans="1:12" x14ac:dyDescent="0.3">
      <c r="B4" s="8" t="s">
        <v>1</v>
      </c>
      <c r="C4" s="8"/>
      <c r="D4" s="8" t="s">
        <v>32</v>
      </c>
      <c r="E4" s="8"/>
      <c r="F4" s="8" t="s">
        <v>33</v>
      </c>
      <c r="G4" s="8"/>
      <c r="H4" s="8" t="s">
        <v>34</v>
      </c>
      <c r="I4" s="8"/>
    </row>
    <row r="5" spans="1:12" x14ac:dyDescent="0.3">
      <c r="B5" s="1">
        <f>SUM(Raw_Data!G2:G16)</f>
        <v>1614300</v>
      </c>
      <c r="C5" s="1"/>
      <c r="D5" s="1">
        <f>SUM(Raw_Data!E2:E16)</f>
        <v>283</v>
      </c>
      <c r="E5" s="1"/>
      <c r="F5" s="1">
        <f>SUM(Raw_Data!I2:I16)</f>
        <v>1607000</v>
      </c>
      <c r="G5" s="1"/>
      <c r="H5" s="1">
        <f>AVERAGE(Raw_Data!G2:G16)</f>
        <v>107620</v>
      </c>
      <c r="I5" s="1"/>
    </row>
    <row r="8" spans="1:12" x14ac:dyDescent="0.3">
      <c r="B8" s="10" t="s">
        <v>40</v>
      </c>
      <c r="C8" s="10" t="s">
        <v>37</v>
      </c>
    </row>
    <row r="9" spans="1:12" x14ac:dyDescent="0.3">
      <c r="B9" s="10" t="s">
        <v>35</v>
      </c>
      <c r="C9" t="s">
        <v>38</v>
      </c>
      <c r="D9" t="s">
        <v>39</v>
      </c>
      <c r="E9" t="s">
        <v>36</v>
      </c>
    </row>
    <row r="10" spans="1:12" x14ac:dyDescent="0.3">
      <c r="B10" s="11" t="s">
        <v>29</v>
      </c>
      <c r="C10" s="13"/>
      <c r="D10" s="13"/>
      <c r="E10" s="13"/>
    </row>
    <row r="11" spans="1:12" x14ac:dyDescent="0.3">
      <c r="B11" s="12" t="s">
        <v>28</v>
      </c>
      <c r="C11" s="13"/>
      <c r="D11" s="13">
        <v>19800</v>
      </c>
      <c r="E11" s="13">
        <v>19800</v>
      </c>
    </row>
    <row r="12" spans="1:12" x14ac:dyDescent="0.3">
      <c r="B12" s="12" t="s">
        <v>13</v>
      </c>
      <c r="C12" s="13">
        <v>270000</v>
      </c>
      <c r="D12" s="13"/>
      <c r="E12" s="13">
        <v>270000</v>
      </c>
    </row>
    <row r="13" spans="1:12" x14ac:dyDescent="0.3">
      <c r="B13" s="12" t="s">
        <v>30</v>
      </c>
      <c r="C13" s="13">
        <v>40000</v>
      </c>
      <c r="D13" s="13">
        <v>81000</v>
      </c>
      <c r="E13" s="13">
        <v>121000</v>
      </c>
    </row>
    <row r="14" spans="1:12" x14ac:dyDescent="0.3">
      <c r="B14" s="11" t="s">
        <v>12</v>
      </c>
      <c r="C14" s="13"/>
      <c r="D14" s="13"/>
      <c r="E14" s="13"/>
    </row>
    <row r="15" spans="1:12" x14ac:dyDescent="0.3">
      <c r="B15" s="12" t="s">
        <v>28</v>
      </c>
      <c r="C15" s="13">
        <v>48000</v>
      </c>
      <c r="D15" s="13"/>
      <c r="E15" s="13">
        <v>48000</v>
      </c>
    </row>
    <row r="16" spans="1:12" x14ac:dyDescent="0.3">
      <c r="B16" s="12" t="s">
        <v>13</v>
      </c>
      <c r="C16" s="13">
        <v>150000</v>
      </c>
      <c r="D16" s="13">
        <v>300000</v>
      </c>
      <c r="E16" s="13">
        <v>450000</v>
      </c>
    </row>
    <row r="17" spans="2:5" x14ac:dyDescent="0.3">
      <c r="B17" s="12" t="s">
        <v>30</v>
      </c>
      <c r="C17" s="13">
        <v>84000</v>
      </c>
      <c r="D17" s="13"/>
      <c r="E17" s="13">
        <v>84000</v>
      </c>
    </row>
    <row r="18" spans="2:5" x14ac:dyDescent="0.3">
      <c r="B18" s="11" t="s">
        <v>27</v>
      </c>
      <c r="C18" s="13"/>
      <c r="D18" s="13"/>
      <c r="E18" s="13"/>
    </row>
    <row r="19" spans="2:5" x14ac:dyDescent="0.3">
      <c r="B19" s="12" t="s">
        <v>28</v>
      </c>
      <c r="C19" s="13">
        <v>30000</v>
      </c>
      <c r="D19" s="13">
        <v>37500</v>
      </c>
      <c r="E19" s="13">
        <v>67500</v>
      </c>
    </row>
    <row r="20" spans="2:5" x14ac:dyDescent="0.3">
      <c r="B20" s="12" t="s">
        <v>13</v>
      </c>
      <c r="C20" s="13">
        <v>280000</v>
      </c>
      <c r="D20" s="13"/>
      <c r="E20" s="13">
        <v>280000</v>
      </c>
    </row>
    <row r="21" spans="2:5" x14ac:dyDescent="0.3">
      <c r="B21" s="11" t="s">
        <v>31</v>
      </c>
      <c r="C21" s="13"/>
      <c r="D21" s="13"/>
      <c r="E21" s="13"/>
    </row>
    <row r="22" spans="2:5" x14ac:dyDescent="0.3">
      <c r="B22" s="12" t="s">
        <v>28</v>
      </c>
      <c r="C22" s="13">
        <v>38000</v>
      </c>
      <c r="D22" s="13"/>
      <c r="E22" s="13">
        <v>38000</v>
      </c>
    </row>
    <row r="23" spans="2:5" x14ac:dyDescent="0.3">
      <c r="B23" s="12" t="s">
        <v>13</v>
      </c>
      <c r="C23" s="13">
        <v>176000</v>
      </c>
      <c r="D23" s="13"/>
      <c r="E23" s="13">
        <v>176000</v>
      </c>
    </row>
    <row r="24" spans="2:5" x14ac:dyDescent="0.3">
      <c r="B24" s="12" t="s">
        <v>30</v>
      </c>
      <c r="C24" s="13"/>
      <c r="D24" s="13">
        <v>60000</v>
      </c>
      <c r="E24" s="13">
        <v>60000</v>
      </c>
    </row>
    <row r="25" spans="2:5" x14ac:dyDescent="0.3">
      <c r="B25" s="11" t="s">
        <v>36</v>
      </c>
      <c r="C25" s="13">
        <v>1116000</v>
      </c>
      <c r="D25" s="13">
        <v>498300</v>
      </c>
      <c r="E25" s="13">
        <v>1614300</v>
      </c>
    </row>
  </sheetData>
  <mergeCells count="9">
    <mergeCell ref="H5:I5"/>
    <mergeCell ref="A2:L3"/>
    <mergeCell ref="B4:C4"/>
    <mergeCell ref="B5:C5"/>
    <mergeCell ref="D4:E4"/>
    <mergeCell ref="F4:G4"/>
    <mergeCell ref="H4:I4"/>
    <mergeCell ref="D5:E5"/>
    <mergeCell ref="F5:G5"/>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14455-5537-46B5-A10C-37F60F499CF3}">
  <dimension ref="A1:I16"/>
  <sheetViews>
    <sheetView topLeftCell="A6" zoomScaleNormal="100" workbookViewId="0">
      <selection sqref="A1:I16"/>
    </sheetView>
  </sheetViews>
  <sheetFormatPr defaultRowHeight="14" x14ac:dyDescent="0.3"/>
  <cols>
    <col min="3" max="3" width="5.796875" customWidth="1"/>
    <col min="4" max="4" width="14.296875" customWidth="1"/>
    <col min="7" max="7" width="13.296875" customWidth="1"/>
    <col min="8" max="8" width="14" customWidth="1"/>
  </cols>
  <sheetData>
    <row r="1" spans="1:9" x14ac:dyDescent="0.3">
      <c r="A1" t="s">
        <v>2</v>
      </c>
      <c r="B1" t="s">
        <v>3</v>
      </c>
      <c r="C1" t="s">
        <v>4</v>
      </c>
      <c r="D1" t="s">
        <v>5</v>
      </c>
      <c r="E1" t="s">
        <v>6</v>
      </c>
      <c r="F1" t="s">
        <v>7</v>
      </c>
      <c r="G1" t="s">
        <v>8</v>
      </c>
      <c r="H1" t="s">
        <v>9</v>
      </c>
      <c r="I1" t="s">
        <v>10</v>
      </c>
    </row>
    <row r="2" spans="1:9" x14ac:dyDescent="0.3">
      <c r="A2" t="s">
        <v>11</v>
      </c>
      <c r="B2" s="9">
        <v>46023</v>
      </c>
      <c r="C2" t="s">
        <v>12</v>
      </c>
      <c r="D2" t="s">
        <v>13</v>
      </c>
      <c r="E2">
        <v>10</v>
      </c>
      <c r="F2">
        <v>15000</v>
      </c>
      <c r="G2">
        <v>150000</v>
      </c>
      <c r="H2">
        <v>500</v>
      </c>
      <c r="I2">
        <v>149500</v>
      </c>
    </row>
    <row r="3" spans="1:9" x14ac:dyDescent="0.3">
      <c r="A3" t="s">
        <v>14</v>
      </c>
      <c r="B3" s="9">
        <v>46025</v>
      </c>
      <c r="C3" t="s">
        <v>27</v>
      </c>
      <c r="D3" t="s">
        <v>28</v>
      </c>
      <c r="E3">
        <v>25</v>
      </c>
      <c r="F3">
        <v>1200</v>
      </c>
      <c r="G3">
        <v>30000</v>
      </c>
      <c r="H3">
        <v>200</v>
      </c>
      <c r="I3">
        <v>29800</v>
      </c>
    </row>
    <row r="4" spans="1:9" x14ac:dyDescent="0.3">
      <c r="A4" t="s">
        <v>15</v>
      </c>
      <c r="B4" s="9">
        <v>46027</v>
      </c>
      <c r="C4" t="s">
        <v>29</v>
      </c>
      <c r="D4" t="s">
        <v>30</v>
      </c>
      <c r="E4">
        <v>5</v>
      </c>
      <c r="F4">
        <v>8000</v>
      </c>
      <c r="G4">
        <v>40000</v>
      </c>
      <c r="H4">
        <v>800</v>
      </c>
      <c r="I4">
        <v>39200</v>
      </c>
    </row>
    <row r="5" spans="1:9" x14ac:dyDescent="0.3">
      <c r="A5" t="s">
        <v>16</v>
      </c>
      <c r="B5" s="9">
        <v>46030</v>
      </c>
      <c r="C5" t="s">
        <v>31</v>
      </c>
      <c r="D5" t="s">
        <v>13</v>
      </c>
      <c r="E5">
        <v>8</v>
      </c>
      <c r="F5">
        <v>22000</v>
      </c>
      <c r="G5">
        <v>176000</v>
      </c>
      <c r="H5">
        <v>600</v>
      </c>
      <c r="I5">
        <v>175400</v>
      </c>
    </row>
    <row r="6" spans="1:9" x14ac:dyDescent="0.3">
      <c r="A6" t="s">
        <v>17</v>
      </c>
      <c r="B6" s="9">
        <v>46034</v>
      </c>
      <c r="C6" t="s">
        <v>12</v>
      </c>
      <c r="D6" t="s">
        <v>28</v>
      </c>
      <c r="E6">
        <v>30</v>
      </c>
      <c r="F6">
        <v>800</v>
      </c>
      <c r="G6">
        <v>24000</v>
      </c>
      <c r="H6">
        <v>150</v>
      </c>
      <c r="I6">
        <v>23850</v>
      </c>
    </row>
    <row r="7" spans="1:9" x14ac:dyDescent="0.3">
      <c r="A7" t="s">
        <v>17</v>
      </c>
      <c r="B7" s="9">
        <v>46034</v>
      </c>
      <c r="C7" t="s">
        <v>12</v>
      </c>
      <c r="D7" t="s">
        <v>28</v>
      </c>
      <c r="E7">
        <v>30</v>
      </c>
      <c r="F7">
        <v>800</v>
      </c>
      <c r="G7">
        <v>24000</v>
      </c>
      <c r="H7">
        <v>150</v>
      </c>
      <c r="I7">
        <v>23850</v>
      </c>
    </row>
    <row r="8" spans="1:9" x14ac:dyDescent="0.3">
      <c r="A8" t="s">
        <v>18</v>
      </c>
      <c r="B8" s="9">
        <v>46040</v>
      </c>
      <c r="C8" t="s">
        <v>29</v>
      </c>
      <c r="D8" t="s">
        <v>13</v>
      </c>
      <c r="E8">
        <v>15</v>
      </c>
      <c r="F8">
        <v>18000</v>
      </c>
      <c r="G8">
        <v>270000</v>
      </c>
      <c r="H8">
        <v>500</v>
      </c>
      <c r="I8">
        <v>269500</v>
      </c>
    </row>
    <row r="9" spans="1:9" x14ac:dyDescent="0.3">
      <c r="A9" t="s">
        <v>19</v>
      </c>
      <c r="B9" s="9">
        <v>46044</v>
      </c>
      <c r="C9" t="s">
        <v>31</v>
      </c>
      <c r="D9" t="s">
        <v>28</v>
      </c>
      <c r="E9">
        <v>40</v>
      </c>
      <c r="F9">
        <v>950</v>
      </c>
      <c r="G9">
        <v>38000</v>
      </c>
      <c r="H9">
        <v>300</v>
      </c>
      <c r="I9">
        <v>37700</v>
      </c>
    </row>
    <row r="10" spans="1:9" x14ac:dyDescent="0.3">
      <c r="A10" t="s">
        <v>20</v>
      </c>
      <c r="B10" s="9">
        <v>46047</v>
      </c>
      <c r="C10" t="s">
        <v>12</v>
      </c>
      <c r="D10" t="s">
        <v>30</v>
      </c>
      <c r="E10">
        <v>7</v>
      </c>
      <c r="F10">
        <v>12000</v>
      </c>
      <c r="G10">
        <v>84000</v>
      </c>
      <c r="H10">
        <v>900</v>
      </c>
      <c r="I10">
        <v>83100</v>
      </c>
    </row>
    <row r="11" spans="1:9" x14ac:dyDescent="0.3">
      <c r="A11" t="s">
        <v>21</v>
      </c>
      <c r="B11" s="9">
        <v>46050</v>
      </c>
      <c r="C11" t="s">
        <v>27</v>
      </c>
      <c r="D11" t="s">
        <v>13</v>
      </c>
      <c r="E11">
        <v>20</v>
      </c>
      <c r="F11">
        <v>14000</v>
      </c>
      <c r="G11">
        <v>280000</v>
      </c>
      <c r="H11">
        <v>400</v>
      </c>
      <c r="I11">
        <v>279600</v>
      </c>
    </row>
    <row r="12" spans="1:9" x14ac:dyDescent="0.3">
      <c r="A12" t="s">
        <v>22</v>
      </c>
      <c r="B12" s="9">
        <v>46055</v>
      </c>
      <c r="C12" t="s">
        <v>29</v>
      </c>
      <c r="D12" t="s">
        <v>28</v>
      </c>
      <c r="E12">
        <v>18</v>
      </c>
      <c r="F12">
        <v>1100</v>
      </c>
      <c r="G12">
        <v>19800</v>
      </c>
      <c r="H12">
        <v>250</v>
      </c>
      <c r="I12">
        <v>19550</v>
      </c>
    </row>
    <row r="13" spans="1:9" x14ac:dyDescent="0.3">
      <c r="A13" t="s">
        <v>23</v>
      </c>
      <c r="B13" s="9">
        <v>46058</v>
      </c>
      <c r="C13" t="s">
        <v>31</v>
      </c>
      <c r="D13" t="s">
        <v>30</v>
      </c>
      <c r="E13">
        <v>4</v>
      </c>
      <c r="F13">
        <v>15000</v>
      </c>
      <c r="G13">
        <v>60000</v>
      </c>
      <c r="H13">
        <v>850</v>
      </c>
      <c r="I13">
        <v>59150</v>
      </c>
    </row>
    <row r="14" spans="1:9" x14ac:dyDescent="0.3">
      <c r="A14" t="s">
        <v>24</v>
      </c>
      <c r="B14" s="9">
        <v>46063</v>
      </c>
      <c r="C14" t="s">
        <v>12</v>
      </c>
      <c r="D14" t="s">
        <v>13</v>
      </c>
      <c r="E14">
        <v>12</v>
      </c>
      <c r="F14">
        <v>25000</v>
      </c>
      <c r="G14">
        <v>300000</v>
      </c>
      <c r="H14">
        <v>700</v>
      </c>
      <c r="I14">
        <v>299300</v>
      </c>
    </row>
    <row r="15" spans="1:9" x14ac:dyDescent="0.3">
      <c r="A15" t="s">
        <v>25</v>
      </c>
      <c r="B15" s="9">
        <v>46067</v>
      </c>
      <c r="C15" t="s">
        <v>27</v>
      </c>
      <c r="D15" t="s">
        <v>28</v>
      </c>
      <c r="E15">
        <v>50</v>
      </c>
      <c r="F15">
        <v>750</v>
      </c>
      <c r="G15">
        <v>37500</v>
      </c>
      <c r="H15">
        <v>350</v>
      </c>
      <c r="I15">
        <v>37150</v>
      </c>
    </row>
    <row r="16" spans="1:9" x14ac:dyDescent="0.3">
      <c r="A16" t="s">
        <v>26</v>
      </c>
      <c r="B16" s="9">
        <v>46073</v>
      </c>
      <c r="C16" t="s">
        <v>29</v>
      </c>
      <c r="D16" t="s">
        <v>30</v>
      </c>
      <c r="E16">
        <v>9</v>
      </c>
      <c r="F16">
        <v>9000</v>
      </c>
      <c r="G16">
        <v>81000</v>
      </c>
      <c r="H16">
        <v>650</v>
      </c>
      <c r="I16">
        <v>80350</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 panjeta</dc:creator>
  <cp:lastModifiedBy>jyoti panjeta</cp:lastModifiedBy>
  <dcterms:created xsi:type="dcterms:W3CDTF">2026-08-08T08:30:59Z</dcterms:created>
  <dcterms:modified xsi:type="dcterms:W3CDTF">2026-08-08T09:08:35Z</dcterms:modified>
</cp:coreProperties>
</file>